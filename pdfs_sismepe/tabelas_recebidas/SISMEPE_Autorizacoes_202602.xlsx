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714C4D52-7284-4C9F-BEA7-DA81CD284A86}" xr6:coauthVersionLast="47" xr6:coauthVersionMax="47" xr10:uidLastSave="{00000000-0000-0000-0000-000000000000}"/>
  <bookViews>
    <workbookView xWindow="-108" yWindow="-108" windowWidth="23256" windowHeight="12456" xr2:uid="{22B532EC-923A-4A80-B440-B780DA702A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</calcChain>
</file>

<file path=xl/sharedStrings.xml><?xml version="1.0" encoding="utf-8"?>
<sst xmlns="http://schemas.openxmlformats.org/spreadsheetml/2006/main" count="225" uniqueCount="63">
  <si>
    <t>ANO</t>
  </si>
  <si>
    <t>MES</t>
  </si>
  <si>
    <t>Polo</t>
  </si>
  <si>
    <t>Subpolo</t>
  </si>
  <si>
    <t>CPF/CNPJ</t>
  </si>
  <si>
    <t>Prestador</t>
  </si>
  <si>
    <t>TIPOSENHA</t>
  </si>
  <si>
    <t>QTD</t>
  </si>
  <si>
    <t>VALOR</t>
  </si>
  <si>
    <t>INTERIOR</t>
  </si>
  <si>
    <t>10 BPM - PALMARES</t>
  </si>
  <si>
    <t>LAISA PALLOMA XIMENES DA SILVA</t>
  </si>
  <si>
    <t>Consulta</t>
  </si>
  <si>
    <t>14 BPM SERRA TALHADA</t>
  </si>
  <si>
    <t>LABORATORIO ALDILENE BARBOSA SC</t>
  </si>
  <si>
    <t>SP/SADT</t>
  </si>
  <si>
    <t>LABORATORIO SAO FRANCISCO</t>
  </si>
  <si>
    <t>ISADORA BARROS CONSERVA CRUZ</t>
  </si>
  <si>
    <t>23 BPM - AFOGADOS DA INGAZEIRA</t>
  </si>
  <si>
    <t>CITO LAB</t>
  </si>
  <si>
    <t>3 BPM - ARCOVERDE</t>
  </si>
  <si>
    <t>VINICIUS CESAR DO RAMO SOUZA FRANCA</t>
  </si>
  <si>
    <t>4 BPM CARUARU</t>
  </si>
  <si>
    <t>CICERO CESARIO DA SILVA NETO</t>
  </si>
  <si>
    <t>LABORATORIO DE ANALISES AUGUSTO FERREIRA LTDA</t>
  </si>
  <si>
    <t>UNIMAGEM  CLINICA MEDICA IMAGEM E DIAGNOSTICO</t>
  </si>
  <si>
    <t>7 BPM - OURICURI</t>
  </si>
  <si>
    <t>CLINICA DR  MANO</t>
  </si>
  <si>
    <t>8 BPM - SALGUEIRO</t>
  </si>
  <si>
    <t>LABORATORIO SERTANEJO DE ANALISES CLINICAS LTDA</t>
  </si>
  <si>
    <t>PRONTO SOCORRO SAO FRANCISCO</t>
  </si>
  <si>
    <t>Internacao</t>
  </si>
  <si>
    <t>Prorrogacao de internacao</t>
  </si>
  <si>
    <t>LABORATORIO PETRI SALGUEIRO</t>
  </si>
  <si>
    <t>9 BPM - GARANHUNS</t>
  </si>
  <si>
    <t>LABORATORIO ADOLFO LUTZ</t>
  </si>
  <si>
    <t>CASA DE SAUDE E MATER N S DO PERPETUO SOCORRO</t>
  </si>
  <si>
    <t>CARDIO IMAGEM MEDICOS LTDA</t>
  </si>
  <si>
    <t>RMR</t>
  </si>
  <si>
    <t>RECIFE</t>
  </si>
  <si>
    <t>CEMUPE  CENTRO DE MEDICINA NUCLEAR DE PERNAMBUCO LTDA</t>
  </si>
  <si>
    <t>INTERFISIO SERVICO DE FISIOTERAPIA LTDA</t>
  </si>
  <si>
    <t>RENAL SERVICES LTDA SOS RENAL</t>
  </si>
  <si>
    <t>CENTRO DE DIAGNOSTICO JOSE ROCHA DE SA LTDA</t>
  </si>
  <si>
    <t>AMPLIAR ANALISES PATOLOGICAS</t>
  </si>
  <si>
    <t>ONKOS  CLINICA DE ONCOLOGIA LTDA</t>
  </si>
  <si>
    <t>SINGULAR SERVICOS DE SAUDE LTDA</t>
  </si>
  <si>
    <t>HOSPITAL SANTA TERESINHA LTDA CAXANGA</t>
  </si>
  <si>
    <t>ENDOTERAPEUTICA CENTRO DE VIDEO ENDOSCOPIA</t>
  </si>
  <si>
    <t>COOPANEST PE</t>
  </si>
  <si>
    <t>Honorarios</t>
  </si>
  <si>
    <t>CLINICA RADIOLOGICA LUCILO MARANHAO LTDA</t>
  </si>
  <si>
    <t>INSTITUTO DE DIAGNOSTICO JOSE ROCHA DE SA LTDA</t>
  </si>
  <si>
    <t>ESTE  ESPACO TERAPIA</t>
  </si>
  <si>
    <t>REVIVER</t>
  </si>
  <si>
    <t>INSTITUTO DE OLHOS DR CLOVIS DE AZEVEDO PAIVA</t>
  </si>
  <si>
    <t>UNINEURO</t>
  </si>
  <si>
    <t>META  HOSPITAL CIDADE PATRIMONIO</t>
  </si>
  <si>
    <t>SP/SADT em internacao</t>
  </si>
  <si>
    <t>CLINOPE UNIDADE RECIFE</t>
  </si>
  <si>
    <t>DERBIMAGEM</t>
  </si>
  <si>
    <t>CENTRO DE DIAGNOSTICO MULTIMAGEM</t>
  </si>
  <si>
    <t>HORTON JOSE COURA PINTO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</si>
</sst>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24C8-648C-431D-A086-FA4570EA4C61}">
  <dimension ref="A1:I55"/>
  <sheetViews>
    <sheetView tabSelected="1" workbookViewId="0">
      <selection activeCell="D5" sqref="D5"/>
    </sheetView>
  </sheetViews>
  <sheetFormatPr defaultRowHeight="14.4" x14ac:dyDescent="0.3"/>
  <cols>
    <col min="1" max="1" width="5" bestFit="1" customWidth="1"/>
    <col min="2" max="2" width="4.5546875" bestFit="1" customWidth="1"/>
    <col min="3" max="3" width="9" bestFit="1" customWidth="1"/>
    <col min="4" max="4" width="30.5546875" bestFit="1" customWidth="1"/>
    <col min="5" max="5" width="15.109375" bestFit="1" customWidth="1"/>
    <col min="6" max="6" width="57" bestFit="1" customWidth="1"/>
    <col min="7" max="7" width="23.109375" bestFit="1" customWidth="1"/>
    <col min="8" max="8" width="4.554687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2026</v>
      </c>
      <c r="B2">
        <v>2</v>
      </c>
      <c r="C2" t="s">
        <v>9</v>
      </c>
      <c r="D2" t="s">
        <v>10</v>
      </c>
      <c r="E2" t="str">
        <f>TEXT(7179597406,"00000000000000")</f>
        <v>00007179597406</v>
      </c>
      <c r="F2" t="s">
        <v>11</v>
      </c>
      <c r="G2" t="s">
        <v>12</v>
      </c>
      <c r="H2">
        <v>50</v>
      </c>
      <c r="I2">
        <v>3000</v>
      </c>
    </row>
    <row r="3" spans="1:9" x14ac:dyDescent="0.3">
      <c r="A3">
        <v>2026</v>
      </c>
      <c r="B3">
        <v>2</v>
      </c>
      <c r="C3" t="s">
        <v>9</v>
      </c>
      <c r="D3" t="s">
        <v>13</v>
      </c>
      <c r="E3" t="str">
        <f>TEXT(900557000189,"00000000000000")</f>
        <v>00900557000189</v>
      </c>
      <c r="F3" t="s">
        <v>14</v>
      </c>
      <c r="G3" t="s">
        <v>15</v>
      </c>
      <c r="H3">
        <v>30</v>
      </c>
      <c r="I3">
        <v>4190.3500000000004</v>
      </c>
    </row>
    <row r="4" spans="1:9" x14ac:dyDescent="0.3">
      <c r="A4">
        <v>2026</v>
      </c>
      <c r="B4">
        <v>2</v>
      </c>
      <c r="C4" t="s">
        <v>9</v>
      </c>
      <c r="D4" t="s">
        <v>13</v>
      </c>
      <c r="E4" t="str">
        <f>TEXT(11125954000147,"00000000000000")</f>
        <v>11125954000147</v>
      </c>
      <c r="F4" t="s">
        <v>16</v>
      </c>
      <c r="G4" t="s">
        <v>15</v>
      </c>
      <c r="H4">
        <v>14</v>
      </c>
      <c r="I4">
        <v>2962.34</v>
      </c>
    </row>
    <row r="5" spans="1:9" x14ac:dyDescent="0.3">
      <c r="A5">
        <v>2026</v>
      </c>
      <c r="B5">
        <v>2</v>
      </c>
      <c r="C5" t="s">
        <v>9</v>
      </c>
      <c r="D5" t="s">
        <v>13</v>
      </c>
      <c r="E5" t="str">
        <f>TEXT(11164733486,"00000000000000")</f>
        <v>00011164733486</v>
      </c>
      <c r="F5" t="s">
        <v>17</v>
      </c>
      <c r="G5" t="s">
        <v>12</v>
      </c>
      <c r="H5">
        <v>18</v>
      </c>
      <c r="I5">
        <v>1080</v>
      </c>
    </row>
    <row r="6" spans="1:9" x14ac:dyDescent="0.3">
      <c r="A6">
        <v>2026</v>
      </c>
      <c r="B6">
        <v>2</v>
      </c>
      <c r="C6" t="s">
        <v>9</v>
      </c>
      <c r="D6" t="s">
        <v>18</v>
      </c>
      <c r="E6" t="str">
        <f>TEXT(17059090000199,"00000000000000")</f>
        <v>17059090000199</v>
      </c>
      <c r="F6" t="s">
        <v>19</v>
      </c>
      <c r="G6" t="s">
        <v>15</v>
      </c>
      <c r="H6">
        <v>11</v>
      </c>
      <c r="I6">
        <v>2500.4699999999998</v>
      </c>
    </row>
    <row r="7" spans="1:9" x14ac:dyDescent="0.3">
      <c r="A7">
        <v>2026</v>
      </c>
      <c r="B7">
        <v>2</v>
      </c>
      <c r="C7" t="s">
        <v>9</v>
      </c>
      <c r="D7" t="s">
        <v>20</v>
      </c>
      <c r="E7" t="str">
        <f>TEXT(10292914466,"00000000000000")</f>
        <v>00010292914466</v>
      </c>
      <c r="F7" t="s">
        <v>21</v>
      </c>
      <c r="G7" t="s">
        <v>12</v>
      </c>
      <c r="H7">
        <v>66</v>
      </c>
      <c r="I7">
        <v>3960</v>
      </c>
    </row>
    <row r="8" spans="1:9" x14ac:dyDescent="0.3">
      <c r="A8">
        <v>2026</v>
      </c>
      <c r="B8">
        <v>2</v>
      </c>
      <c r="C8" t="s">
        <v>9</v>
      </c>
      <c r="D8" t="s">
        <v>22</v>
      </c>
      <c r="E8" t="str">
        <f>TEXT(11043481443,"00000000000000")</f>
        <v>00011043481443</v>
      </c>
      <c r="F8" t="s">
        <v>23</v>
      </c>
      <c r="G8" t="s">
        <v>12</v>
      </c>
      <c r="H8">
        <v>49</v>
      </c>
      <c r="I8">
        <v>2940</v>
      </c>
    </row>
    <row r="9" spans="1:9" x14ac:dyDescent="0.3">
      <c r="A9">
        <v>2026</v>
      </c>
      <c r="B9">
        <v>2</v>
      </c>
      <c r="C9" t="s">
        <v>9</v>
      </c>
      <c r="D9" t="s">
        <v>22</v>
      </c>
      <c r="E9" t="str">
        <f>TEXT(37338484000193,"00000000000000")</f>
        <v>37338484000193</v>
      </c>
      <c r="F9" t="s">
        <v>24</v>
      </c>
      <c r="G9" t="s">
        <v>15</v>
      </c>
      <c r="H9">
        <v>27</v>
      </c>
      <c r="I9">
        <v>3384.28</v>
      </c>
    </row>
    <row r="10" spans="1:9" x14ac:dyDescent="0.3">
      <c r="A10">
        <v>2026</v>
      </c>
      <c r="B10">
        <v>2</v>
      </c>
      <c r="C10" t="s">
        <v>9</v>
      </c>
      <c r="D10" t="s">
        <v>22</v>
      </c>
      <c r="E10" t="str">
        <f>TEXT(40888240000199,"00000000000000")</f>
        <v>40888240000199</v>
      </c>
      <c r="F10" t="s">
        <v>25</v>
      </c>
      <c r="G10" t="s">
        <v>15</v>
      </c>
      <c r="H10">
        <v>91</v>
      </c>
      <c r="I10">
        <v>13401.99</v>
      </c>
    </row>
    <row r="11" spans="1:9" x14ac:dyDescent="0.3">
      <c r="A11">
        <v>2026</v>
      </c>
      <c r="B11">
        <v>2</v>
      </c>
      <c r="C11" t="s">
        <v>9</v>
      </c>
      <c r="D11" t="s">
        <v>26</v>
      </c>
      <c r="E11" t="str">
        <f>TEXT(11218987000131,"00000000000000")</f>
        <v>11218987000131</v>
      </c>
      <c r="F11" t="s">
        <v>27</v>
      </c>
      <c r="G11" t="s">
        <v>12</v>
      </c>
      <c r="H11">
        <v>9</v>
      </c>
      <c r="I11">
        <v>495</v>
      </c>
    </row>
    <row r="12" spans="1:9" x14ac:dyDescent="0.3">
      <c r="A12">
        <v>2026</v>
      </c>
      <c r="B12">
        <v>2</v>
      </c>
      <c r="C12" t="s">
        <v>9</v>
      </c>
      <c r="D12" t="s">
        <v>26</v>
      </c>
      <c r="E12" t="str">
        <f>TEXT(11218987000131,"00000000000000")</f>
        <v>11218987000131</v>
      </c>
      <c r="F12" t="s">
        <v>27</v>
      </c>
      <c r="G12" t="s">
        <v>15</v>
      </c>
      <c r="H12">
        <v>31</v>
      </c>
      <c r="I12">
        <v>4471.8</v>
      </c>
    </row>
    <row r="13" spans="1:9" x14ac:dyDescent="0.3">
      <c r="A13">
        <v>2026</v>
      </c>
      <c r="B13">
        <v>2</v>
      </c>
      <c r="C13" t="s">
        <v>9</v>
      </c>
      <c r="D13" t="s">
        <v>28</v>
      </c>
      <c r="E13" t="str">
        <f>TEXT(11349776000138,"00000000000000")</f>
        <v>11349776000138</v>
      </c>
      <c r="F13" t="s">
        <v>29</v>
      </c>
      <c r="G13" t="s">
        <v>15</v>
      </c>
      <c r="H13">
        <v>21</v>
      </c>
      <c r="I13">
        <v>4319.38</v>
      </c>
    </row>
    <row r="14" spans="1:9" x14ac:dyDescent="0.3">
      <c r="A14">
        <v>2026</v>
      </c>
      <c r="B14">
        <v>2</v>
      </c>
      <c r="C14" t="s">
        <v>9</v>
      </c>
      <c r="D14" t="s">
        <v>28</v>
      </c>
      <c r="E14" t="str">
        <f>TEXT(11351301000186,"00000000000000")</f>
        <v>11351301000186</v>
      </c>
      <c r="F14" t="s">
        <v>30</v>
      </c>
      <c r="G14" t="s">
        <v>12</v>
      </c>
      <c r="H14">
        <v>33</v>
      </c>
      <c r="I14">
        <v>1805</v>
      </c>
    </row>
    <row r="15" spans="1:9" x14ac:dyDescent="0.3">
      <c r="A15">
        <v>2026</v>
      </c>
      <c r="B15">
        <v>2</v>
      </c>
      <c r="C15" t="s">
        <v>9</v>
      </c>
      <c r="D15" t="s">
        <v>28</v>
      </c>
      <c r="E15" t="str">
        <f>TEXT(11351301000186,"00000000000000")</f>
        <v>11351301000186</v>
      </c>
      <c r="F15" t="s">
        <v>30</v>
      </c>
      <c r="G15" t="s">
        <v>31</v>
      </c>
      <c r="H15">
        <v>2</v>
      </c>
      <c r="I15">
        <v>114.4</v>
      </c>
    </row>
    <row r="16" spans="1:9" x14ac:dyDescent="0.3">
      <c r="A16">
        <v>2026</v>
      </c>
      <c r="B16">
        <v>2</v>
      </c>
      <c r="C16" t="s">
        <v>9</v>
      </c>
      <c r="D16" t="s">
        <v>28</v>
      </c>
      <c r="E16" t="str">
        <f>TEXT(11351301000186,"00000000000000")</f>
        <v>11351301000186</v>
      </c>
      <c r="F16" t="s">
        <v>30</v>
      </c>
      <c r="G16" t="s">
        <v>32</v>
      </c>
      <c r="H16">
        <v>6</v>
      </c>
      <c r="I16">
        <v>572</v>
      </c>
    </row>
    <row r="17" spans="1:9" x14ac:dyDescent="0.3">
      <c r="A17">
        <v>2026</v>
      </c>
      <c r="B17">
        <v>2</v>
      </c>
      <c r="C17" t="s">
        <v>9</v>
      </c>
      <c r="D17" t="s">
        <v>28</v>
      </c>
      <c r="E17" t="str">
        <f>TEXT(11351301000186,"00000000000000")</f>
        <v>11351301000186</v>
      </c>
      <c r="F17" t="s">
        <v>30</v>
      </c>
      <c r="G17" t="s">
        <v>15</v>
      </c>
      <c r="H17">
        <v>97</v>
      </c>
      <c r="I17">
        <v>8819.3700000000008</v>
      </c>
    </row>
    <row r="18" spans="1:9" x14ac:dyDescent="0.3">
      <c r="A18">
        <v>2026</v>
      </c>
      <c r="B18">
        <v>2</v>
      </c>
      <c r="C18" t="s">
        <v>9</v>
      </c>
      <c r="D18" t="s">
        <v>28</v>
      </c>
      <c r="E18" t="str">
        <f>TEXT(12979968000190,"00000000000000")</f>
        <v>12979968000190</v>
      </c>
      <c r="F18" t="s">
        <v>33</v>
      </c>
      <c r="G18" t="s">
        <v>15</v>
      </c>
      <c r="H18">
        <v>49</v>
      </c>
      <c r="I18">
        <v>9685.93</v>
      </c>
    </row>
    <row r="19" spans="1:9" x14ac:dyDescent="0.3">
      <c r="A19">
        <v>2026</v>
      </c>
      <c r="B19">
        <v>2</v>
      </c>
      <c r="C19" t="s">
        <v>9</v>
      </c>
      <c r="D19" t="s">
        <v>34</v>
      </c>
      <c r="E19" t="str">
        <f>TEXT(7254131000144,"00000000000000")</f>
        <v>07254131000144</v>
      </c>
      <c r="F19" t="s">
        <v>35</v>
      </c>
      <c r="G19" t="s">
        <v>15</v>
      </c>
      <c r="H19">
        <v>2</v>
      </c>
      <c r="I19">
        <v>485.16</v>
      </c>
    </row>
    <row r="20" spans="1:9" x14ac:dyDescent="0.3">
      <c r="A20">
        <v>2026</v>
      </c>
      <c r="B20">
        <v>2</v>
      </c>
      <c r="C20" t="s">
        <v>9</v>
      </c>
      <c r="D20" t="s">
        <v>34</v>
      </c>
      <c r="E20" t="str">
        <f>TEXT(10248599000130,"00000000000000")</f>
        <v>10248599000130</v>
      </c>
      <c r="F20" t="s">
        <v>36</v>
      </c>
      <c r="G20" t="s">
        <v>12</v>
      </c>
      <c r="H20">
        <v>79</v>
      </c>
      <c r="I20">
        <v>4345</v>
      </c>
    </row>
    <row r="21" spans="1:9" x14ac:dyDescent="0.3">
      <c r="A21">
        <v>2026</v>
      </c>
      <c r="B21">
        <v>2</v>
      </c>
      <c r="C21" t="s">
        <v>9</v>
      </c>
      <c r="D21" t="s">
        <v>34</v>
      </c>
      <c r="E21" t="str">
        <f>TEXT(10248599000130,"00000000000000")</f>
        <v>10248599000130</v>
      </c>
      <c r="F21" t="s">
        <v>36</v>
      </c>
      <c r="G21" t="s">
        <v>31</v>
      </c>
      <c r="H21">
        <v>2</v>
      </c>
      <c r="I21">
        <v>209.44</v>
      </c>
    </row>
    <row r="22" spans="1:9" x14ac:dyDescent="0.3">
      <c r="A22">
        <v>2026</v>
      </c>
      <c r="B22">
        <v>2</v>
      </c>
      <c r="C22" t="s">
        <v>9</v>
      </c>
      <c r="D22" t="s">
        <v>34</v>
      </c>
      <c r="E22" t="str">
        <f>TEXT(10248599000130,"00000000000000")</f>
        <v>10248599000130</v>
      </c>
      <c r="F22" t="s">
        <v>36</v>
      </c>
      <c r="G22" t="s">
        <v>32</v>
      </c>
      <c r="H22">
        <v>8</v>
      </c>
      <c r="I22">
        <v>1224.57</v>
      </c>
    </row>
    <row r="23" spans="1:9" x14ac:dyDescent="0.3">
      <c r="A23">
        <v>2026</v>
      </c>
      <c r="B23">
        <v>2</v>
      </c>
      <c r="C23" t="s">
        <v>9</v>
      </c>
      <c r="D23" t="s">
        <v>34</v>
      </c>
      <c r="E23" t="str">
        <f>TEXT(10248599000130,"00000000000000")</f>
        <v>10248599000130</v>
      </c>
      <c r="F23" t="s">
        <v>36</v>
      </c>
      <c r="G23" t="s">
        <v>15</v>
      </c>
      <c r="H23">
        <v>77</v>
      </c>
      <c r="I23">
        <v>20256.59</v>
      </c>
    </row>
    <row r="24" spans="1:9" x14ac:dyDescent="0.3">
      <c r="A24">
        <v>2026</v>
      </c>
      <c r="B24">
        <v>2</v>
      </c>
      <c r="C24" t="s">
        <v>9</v>
      </c>
      <c r="D24" t="s">
        <v>34</v>
      </c>
      <c r="E24" t="str">
        <f>TEXT(30877988000132,"00000000000000")</f>
        <v>30877988000132</v>
      </c>
      <c r="F24" t="s">
        <v>37</v>
      </c>
      <c r="G24" t="s">
        <v>12</v>
      </c>
      <c r="H24">
        <v>14</v>
      </c>
      <c r="I24">
        <v>770</v>
      </c>
    </row>
    <row r="25" spans="1:9" x14ac:dyDescent="0.3">
      <c r="A25">
        <v>2026</v>
      </c>
      <c r="B25">
        <v>2</v>
      </c>
      <c r="C25" t="s">
        <v>9</v>
      </c>
      <c r="D25" t="s">
        <v>34</v>
      </c>
      <c r="E25" t="str">
        <f>TEXT(30877988000132,"00000000000000")</f>
        <v>30877988000132</v>
      </c>
      <c r="F25" t="s">
        <v>37</v>
      </c>
      <c r="G25" t="s">
        <v>15</v>
      </c>
      <c r="H25">
        <v>16</v>
      </c>
      <c r="I25">
        <v>734.4</v>
      </c>
    </row>
    <row r="26" spans="1:9" x14ac:dyDescent="0.3">
      <c r="A26">
        <v>2026</v>
      </c>
      <c r="B26">
        <v>2</v>
      </c>
      <c r="C26" t="s">
        <v>38</v>
      </c>
      <c r="D26" t="s">
        <v>39</v>
      </c>
      <c r="E26" t="str">
        <f>TEXT(228813000133,"00000000000000")</f>
        <v>00228813000133</v>
      </c>
      <c r="F26" t="s">
        <v>40</v>
      </c>
      <c r="G26" t="s">
        <v>31</v>
      </c>
      <c r="H26">
        <v>1</v>
      </c>
      <c r="I26">
        <v>307.2</v>
      </c>
    </row>
    <row r="27" spans="1:9" x14ac:dyDescent="0.3">
      <c r="A27">
        <v>2026</v>
      </c>
      <c r="B27">
        <v>2</v>
      </c>
      <c r="C27" t="s">
        <v>38</v>
      </c>
      <c r="D27" t="s">
        <v>39</v>
      </c>
      <c r="E27" t="str">
        <f>TEXT(228813000133,"00000000000000")</f>
        <v>00228813000133</v>
      </c>
      <c r="F27" t="s">
        <v>40</v>
      </c>
      <c r="G27" t="s">
        <v>15</v>
      </c>
      <c r="H27">
        <v>31</v>
      </c>
      <c r="I27">
        <v>9437.3700000000008</v>
      </c>
    </row>
    <row r="28" spans="1:9" x14ac:dyDescent="0.3">
      <c r="A28">
        <v>2026</v>
      </c>
      <c r="B28">
        <v>2</v>
      </c>
      <c r="C28" t="s">
        <v>38</v>
      </c>
      <c r="D28" t="s">
        <v>39</v>
      </c>
      <c r="E28" t="str">
        <f>TEXT(1219859000159,"00000000000000")</f>
        <v>01219859000159</v>
      </c>
      <c r="F28" t="s">
        <v>41</v>
      </c>
      <c r="G28" t="s">
        <v>15</v>
      </c>
      <c r="H28">
        <v>37</v>
      </c>
      <c r="I28">
        <v>35605.440000000002</v>
      </c>
    </row>
    <row r="29" spans="1:9" x14ac:dyDescent="0.3">
      <c r="A29">
        <v>2026</v>
      </c>
      <c r="B29">
        <v>2</v>
      </c>
      <c r="C29" t="s">
        <v>38</v>
      </c>
      <c r="D29" t="s">
        <v>39</v>
      </c>
      <c r="E29" t="str">
        <f>TEXT(1438059000129,"00000000000000")</f>
        <v>01438059000129</v>
      </c>
      <c r="F29" t="s">
        <v>42</v>
      </c>
      <c r="G29" t="s">
        <v>15</v>
      </c>
      <c r="H29">
        <v>22</v>
      </c>
      <c r="I29">
        <v>79816.38</v>
      </c>
    </row>
    <row r="30" spans="1:9" x14ac:dyDescent="0.3">
      <c r="A30">
        <v>2026</v>
      </c>
      <c r="B30">
        <v>2</v>
      </c>
      <c r="C30" t="s">
        <v>38</v>
      </c>
      <c r="D30" t="s">
        <v>39</v>
      </c>
      <c r="E30" t="str">
        <f>TEXT(3007832000128,"00000000000000")</f>
        <v>03007832000128</v>
      </c>
      <c r="F30" t="s">
        <v>43</v>
      </c>
      <c r="G30" t="s">
        <v>15</v>
      </c>
      <c r="H30">
        <v>49</v>
      </c>
      <c r="I30">
        <v>16837.66</v>
      </c>
    </row>
    <row r="31" spans="1:9" x14ac:dyDescent="0.3">
      <c r="A31">
        <v>2026</v>
      </c>
      <c r="B31">
        <v>2</v>
      </c>
      <c r="C31" t="s">
        <v>38</v>
      </c>
      <c r="D31" t="s">
        <v>39</v>
      </c>
      <c r="E31" t="str">
        <f>TEXT(4254254000197,"00000000000000")</f>
        <v>04254254000197</v>
      </c>
      <c r="F31" t="s">
        <v>44</v>
      </c>
      <c r="G31" t="s">
        <v>15</v>
      </c>
      <c r="H31">
        <v>191</v>
      </c>
      <c r="I31">
        <v>30454.13</v>
      </c>
    </row>
    <row r="32" spans="1:9" x14ac:dyDescent="0.3">
      <c r="A32">
        <v>2026</v>
      </c>
      <c r="B32">
        <v>2</v>
      </c>
      <c r="C32" t="s">
        <v>38</v>
      </c>
      <c r="D32" t="s">
        <v>39</v>
      </c>
      <c r="E32" t="str">
        <f>TEXT(4603807000170,"00000000000000")</f>
        <v>04603807000170</v>
      </c>
      <c r="F32" t="s">
        <v>45</v>
      </c>
      <c r="G32" t="s">
        <v>12</v>
      </c>
      <c r="H32">
        <v>1</v>
      </c>
      <c r="I32">
        <v>55</v>
      </c>
    </row>
    <row r="33" spans="1:9" x14ac:dyDescent="0.3">
      <c r="A33">
        <v>2026</v>
      </c>
      <c r="B33">
        <v>2</v>
      </c>
      <c r="C33" t="s">
        <v>38</v>
      </c>
      <c r="D33" t="s">
        <v>39</v>
      </c>
      <c r="E33" t="str">
        <f>TEXT(4603807000170,"00000000000000")</f>
        <v>04603807000170</v>
      </c>
      <c r="F33" t="s">
        <v>45</v>
      </c>
      <c r="G33" t="s">
        <v>15</v>
      </c>
      <c r="H33">
        <v>82</v>
      </c>
      <c r="I33">
        <v>778.16</v>
      </c>
    </row>
    <row r="34" spans="1:9" x14ac:dyDescent="0.3">
      <c r="A34">
        <v>2026</v>
      </c>
      <c r="B34">
        <v>2</v>
      </c>
      <c r="C34" t="s">
        <v>38</v>
      </c>
      <c r="D34" t="s">
        <v>39</v>
      </c>
      <c r="E34" t="str">
        <f>TEXT(7901268000143,"00000000000000")</f>
        <v>07901268000143</v>
      </c>
      <c r="F34" t="s">
        <v>46</v>
      </c>
      <c r="G34" t="s">
        <v>15</v>
      </c>
      <c r="H34">
        <v>500</v>
      </c>
      <c r="I34">
        <v>26256.43</v>
      </c>
    </row>
    <row r="35" spans="1:9" x14ac:dyDescent="0.3">
      <c r="A35">
        <v>2026</v>
      </c>
      <c r="B35">
        <v>2</v>
      </c>
      <c r="C35" t="s">
        <v>38</v>
      </c>
      <c r="D35" t="s">
        <v>39</v>
      </c>
      <c r="E35" t="str">
        <f>TEXT(9192486000181,"00000000000000")</f>
        <v>09192486000181</v>
      </c>
      <c r="F35" t="s">
        <v>47</v>
      </c>
      <c r="G35" t="s">
        <v>32</v>
      </c>
      <c r="H35">
        <v>9</v>
      </c>
      <c r="I35">
        <v>3851.06</v>
      </c>
    </row>
    <row r="36" spans="1:9" x14ac:dyDescent="0.3">
      <c r="A36">
        <v>2026</v>
      </c>
      <c r="B36">
        <v>2</v>
      </c>
      <c r="C36" t="s">
        <v>38</v>
      </c>
      <c r="D36" t="s">
        <v>39</v>
      </c>
      <c r="E36" t="str">
        <f>TEXT(10769662000184,"00000000000000")</f>
        <v>10769662000184</v>
      </c>
      <c r="F36" t="s">
        <v>48</v>
      </c>
      <c r="G36" t="s">
        <v>15</v>
      </c>
      <c r="H36">
        <v>21</v>
      </c>
      <c r="I36">
        <v>15003.08</v>
      </c>
    </row>
    <row r="37" spans="1:9" x14ac:dyDescent="0.3">
      <c r="A37">
        <v>2026</v>
      </c>
      <c r="B37">
        <v>2</v>
      </c>
      <c r="C37" t="s">
        <v>38</v>
      </c>
      <c r="D37" t="s">
        <v>39</v>
      </c>
      <c r="E37" t="str">
        <f>TEXT(11187085000185,"00000000000000")</f>
        <v>11187085000185</v>
      </c>
      <c r="F37" t="s">
        <v>49</v>
      </c>
      <c r="G37" t="s">
        <v>50</v>
      </c>
      <c r="H37">
        <v>125</v>
      </c>
      <c r="I37">
        <v>180564.73</v>
      </c>
    </row>
    <row r="38" spans="1:9" x14ac:dyDescent="0.3">
      <c r="A38">
        <v>2026</v>
      </c>
      <c r="B38">
        <v>2</v>
      </c>
      <c r="C38" t="s">
        <v>38</v>
      </c>
      <c r="D38" t="s">
        <v>39</v>
      </c>
      <c r="E38" t="str">
        <f>TEXT(11187085000185,"00000000000000")</f>
        <v>11187085000185</v>
      </c>
      <c r="F38" t="s">
        <v>49</v>
      </c>
      <c r="G38" t="s">
        <v>15</v>
      </c>
      <c r="H38">
        <v>92</v>
      </c>
      <c r="I38">
        <v>65339.32</v>
      </c>
    </row>
    <row r="39" spans="1:9" x14ac:dyDescent="0.3">
      <c r="A39">
        <v>2026</v>
      </c>
      <c r="B39">
        <v>2</v>
      </c>
      <c r="C39" t="s">
        <v>38</v>
      </c>
      <c r="D39" t="s">
        <v>39</v>
      </c>
      <c r="E39" t="str">
        <f>TEXT(11544848000106,"00000000000000")</f>
        <v>11544848000106</v>
      </c>
      <c r="F39" t="s">
        <v>51</v>
      </c>
      <c r="G39" t="s">
        <v>15</v>
      </c>
      <c r="H39">
        <v>97</v>
      </c>
      <c r="I39">
        <v>8138.88</v>
      </c>
    </row>
    <row r="40" spans="1:9" x14ac:dyDescent="0.3">
      <c r="A40">
        <v>2026</v>
      </c>
      <c r="B40">
        <v>2</v>
      </c>
      <c r="C40" t="s">
        <v>38</v>
      </c>
      <c r="D40" t="s">
        <v>39</v>
      </c>
      <c r="E40" t="str">
        <f>TEXT(11933822000141,"00000000000000")</f>
        <v>11933822000141</v>
      </c>
      <c r="F40" t="s">
        <v>52</v>
      </c>
      <c r="G40" t="s">
        <v>15</v>
      </c>
      <c r="H40">
        <v>106</v>
      </c>
      <c r="I40">
        <v>58831.77</v>
      </c>
    </row>
    <row r="41" spans="1:9" x14ac:dyDescent="0.3">
      <c r="A41">
        <v>2026</v>
      </c>
      <c r="B41">
        <v>2</v>
      </c>
      <c r="C41" t="s">
        <v>38</v>
      </c>
      <c r="D41" t="s">
        <v>39</v>
      </c>
      <c r="E41" t="str">
        <f>TEXT(13454543000120,"00000000000000")</f>
        <v>13454543000120</v>
      </c>
      <c r="F41" t="s">
        <v>53</v>
      </c>
      <c r="G41" t="s">
        <v>15</v>
      </c>
      <c r="H41">
        <v>51</v>
      </c>
      <c r="I41">
        <v>51786</v>
      </c>
    </row>
    <row r="42" spans="1:9" x14ac:dyDescent="0.3">
      <c r="A42">
        <v>2026</v>
      </c>
      <c r="B42">
        <v>2</v>
      </c>
      <c r="C42" t="s">
        <v>38</v>
      </c>
      <c r="D42" t="s">
        <v>39</v>
      </c>
      <c r="E42" t="str">
        <f>TEXT(22243317000191,"00000000000000")</f>
        <v>22243317000191</v>
      </c>
      <c r="F42" t="s">
        <v>54</v>
      </c>
      <c r="G42" t="s">
        <v>31</v>
      </c>
      <c r="H42">
        <v>3</v>
      </c>
      <c r="I42">
        <v>5002.5</v>
      </c>
    </row>
    <row r="43" spans="1:9" x14ac:dyDescent="0.3">
      <c r="A43">
        <v>2026</v>
      </c>
      <c r="B43">
        <v>2</v>
      </c>
      <c r="C43" t="s">
        <v>38</v>
      </c>
      <c r="D43" t="s">
        <v>39</v>
      </c>
      <c r="E43" t="str">
        <f>TEXT(22243317000191,"00000000000000")</f>
        <v>22243317000191</v>
      </c>
      <c r="F43" t="s">
        <v>54</v>
      </c>
      <c r="G43" t="s">
        <v>32</v>
      </c>
      <c r="H43">
        <v>6</v>
      </c>
      <c r="I43">
        <v>32085</v>
      </c>
    </row>
    <row r="44" spans="1:9" x14ac:dyDescent="0.3">
      <c r="A44">
        <v>2026</v>
      </c>
      <c r="B44">
        <v>2</v>
      </c>
      <c r="C44" t="s">
        <v>38</v>
      </c>
      <c r="D44" t="s">
        <v>39</v>
      </c>
      <c r="E44" t="str">
        <f>TEXT(24131849000162,"00000000000000")</f>
        <v>24131849000162</v>
      </c>
      <c r="F44" t="s">
        <v>55</v>
      </c>
      <c r="G44" t="s">
        <v>12</v>
      </c>
      <c r="H44">
        <v>38</v>
      </c>
      <c r="I44">
        <v>2090</v>
      </c>
    </row>
    <row r="45" spans="1:9" x14ac:dyDescent="0.3">
      <c r="A45">
        <v>2026</v>
      </c>
      <c r="B45">
        <v>2</v>
      </c>
      <c r="C45" t="s">
        <v>38</v>
      </c>
      <c r="D45" t="s">
        <v>39</v>
      </c>
      <c r="E45" t="str">
        <f>TEXT(24131849000162,"00000000000000")</f>
        <v>24131849000162</v>
      </c>
      <c r="F45" t="s">
        <v>55</v>
      </c>
      <c r="G45" t="s">
        <v>15</v>
      </c>
      <c r="H45">
        <v>119</v>
      </c>
      <c r="I45">
        <v>184561.37</v>
      </c>
    </row>
    <row r="46" spans="1:9" x14ac:dyDescent="0.3">
      <c r="A46">
        <v>2026</v>
      </c>
      <c r="B46">
        <v>2</v>
      </c>
      <c r="C46" t="s">
        <v>38</v>
      </c>
      <c r="D46" t="s">
        <v>39</v>
      </c>
      <c r="E46" t="str">
        <f>TEXT(24392243000180,"00000000000000")</f>
        <v>24392243000180</v>
      </c>
      <c r="F46" t="s">
        <v>56</v>
      </c>
      <c r="G46" t="s">
        <v>15</v>
      </c>
      <c r="H46">
        <v>287</v>
      </c>
      <c r="I46">
        <v>120783.54</v>
      </c>
    </row>
    <row r="47" spans="1:9" x14ac:dyDescent="0.3">
      <c r="A47">
        <v>2026</v>
      </c>
      <c r="B47">
        <v>2</v>
      </c>
      <c r="C47" t="s">
        <v>38</v>
      </c>
      <c r="D47" t="s">
        <v>39</v>
      </c>
      <c r="E47" t="str">
        <f>TEXT(28739553000180,"00000000000000")</f>
        <v>28739553000180</v>
      </c>
      <c r="F47" t="s">
        <v>57</v>
      </c>
      <c r="G47" t="s">
        <v>31</v>
      </c>
      <c r="H47">
        <v>6</v>
      </c>
      <c r="I47">
        <v>1755.6</v>
      </c>
    </row>
    <row r="48" spans="1:9" x14ac:dyDescent="0.3">
      <c r="A48">
        <v>2026</v>
      </c>
      <c r="B48">
        <v>2</v>
      </c>
      <c r="C48" t="s">
        <v>38</v>
      </c>
      <c r="D48" t="s">
        <v>39</v>
      </c>
      <c r="E48" t="str">
        <f>TEXT(28739553000180,"00000000000000")</f>
        <v>28739553000180</v>
      </c>
      <c r="F48" t="s">
        <v>57</v>
      </c>
      <c r="G48" t="s">
        <v>32</v>
      </c>
      <c r="H48">
        <v>22</v>
      </c>
      <c r="I48">
        <v>29845.200000000001</v>
      </c>
    </row>
    <row r="49" spans="1:9" x14ac:dyDescent="0.3">
      <c r="A49">
        <v>2026</v>
      </c>
      <c r="B49">
        <v>2</v>
      </c>
      <c r="C49" t="s">
        <v>38</v>
      </c>
      <c r="D49" t="s">
        <v>39</v>
      </c>
      <c r="E49" t="str">
        <f>TEXT(28739553000180,"00000000000000")</f>
        <v>28739553000180</v>
      </c>
      <c r="F49" t="s">
        <v>57</v>
      </c>
      <c r="G49" t="s">
        <v>15</v>
      </c>
      <c r="H49">
        <v>10</v>
      </c>
      <c r="I49">
        <v>18400.650000000001</v>
      </c>
    </row>
    <row r="50" spans="1:9" x14ac:dyDescent="0.3">
      <c r="A50">
        <v>2026</v>
      </c>
      <c r="B50">
        <v>2</v>
      </c>
      <c r="C50" t="s">
        <v>38</v>
      </c>
      <c r="D50" t="s">
        <v>39</v>
      </c>
      <c r="E50" t="str">
        <f>TEXT(28739553000180,"00000000000000")</f>
        <v>28739553000180</v>
      </c>
      <c r="F50" t="s">
        <v>57</v>
      </c>
      <c r="G50" t="s">
        <v>58</v>
      </c>
      <c r="H50">
        <v>3</v>
      </c>
      <c r="I50">
        <v>269.26</v>
      </c>
    </row>
    <row r="51" spans="1:9" x14ac:dyDescent="0.3">
      <c r="A51">
        <v>2026</v>
      </c>
      <c r="B51">
        <v>2</v>
      </c>
      <c r="C51" t="s">
        <v>38</v>
      </c>
      <c r="D51" t="s">
        <v>39</v>
      </c>
      <c r="E51" t="str">
        <f>TEXT(35315993000337,"00000000000000")</f>
        <v>35315993000337</v>
      </c>
      <c r="F51" t="s">
        <v>59</v>
      </c>
      <c r="G51" t="s">
        <v>12</v>
      </c>
      <c r="H51">
        <v>2</v>
      </c>
      <c r="I51">
        <v>110</v>
      </c>
    </row>
    <row r="52" spans="1:9" x14ac:dyDescent="0.3">
      <c r="A52">
        <v>2026</v>
      </c>
      <c r="B52">
        <v>2</v>
      </c>
      <c r="C52" t="s">
        <v>38</v>
      </c>
      <c r="D52" t="s">
        <v>39</v>
      </c>
      <c r="E52" t="str">
        <f>TEXT(35315993000337,"00000000000000")</f>
        <v>35315993000337</v>
      </c>
      <c r="F52" t="s">
        <v>59</v>
      </c>
      <c r="G52" t="s">
        <v>15</v>
      </c>
      <c r="H52">
        <v>27</v>
      </c>
      <c r="I52">
        <v>3779.36</v>
      </c>
    </row>
    <row r="53" spans="1:9" x14ac:dyDescent="0.3">
      <c r="A53">
        <v>2026</v>
      </c>
      <c r="B53">
        <v>2</v>
      </c>
      <c r="C53" t="s">
        <v>38</v>
      </c>
      <c r="D53" t="s">
        <v>39</v>
      </c>
      <c r="E53" t="str">
        <f>TEXT(40812042000141,"00000000000000")</f>
        <v>40812042000141</v>
      </c>
      <c r="F53" t="s">
        <v>60</v>
      </c>
      <c r="G53" t="s">
        <v>15</v>
      </c>
      <c r="H53">
        <v>268</v>
      </c>
      <c r="I53">
        <v>26279.99</v>
      </c>
    </row>
    <row r="54" spans="1:9" x14ac:dyDescent="0.3">
      <c r="A54">
        <v>2026</v>
      </c>
      <c r="B54">
        <v>2</v>
      </c>
      <c r="C54" t="s">
        <v>38</v>
      </c>
      <c r="D54" t="s">
        <v>39</v>
      </c>
      <c r="E54" t="str">
        <f>TEXT(41043092000174,"00000000000000")</f>
        <v>41043092000174</v>
      </c>
      <c r="F54" t="s">
        <v>61</v>
      </c>
      <c r="G54" t="s">
        <v>15</v>
      </c>
      <c r="H54">
        <v>60</v>
      </c>
      <c r="I54">
        <v>34490.28</v>
      </c>
    </row>
    <row r="55" spans="1:9" x14ac:dyDescent="0.3">
      <c r="A55">
        <v>2026</v>
      </c>
      <c r="B55">
        <v>2</v>
      </c>
      <c r="C55" t="s">
        <v>38</v>
      </c>
      <c r="D55" t="s">
        <v>39</v>
      </c>
      <c r="E55" t="str">
        <f>TEXT(41211952487,"00000000000000")</f>
        <v>00041211952487</v>
      </c>
      <c r="F55" t="s">
        <v>62</v>
      </c>
      <c r="G55" t="s">
        <v>12</v>
      </c>
      <c r="H55">
        <v>103</v>
      </c>
      <c r="I55">
        <v>9064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</dc:creator>
  <cp:lastModifiedBy>Antonio Carlos</cp:lastModifiedBy>
  <dcterms:created xsi:type="dcterms:W3CDTF">2026-03-02T12:37:19Z</dcterms:created>
  <dcterms:modified xsi:type="dcterms:W3CDTF">2026-03-02T12:37:53Z</dcterms:modified>
</cp:coreProperties>
</file>