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F1C87789-8392-4581-9DAF-6A881C998328}" xr6:coauthVersionLast="47" xr6:coauthVersionMax="47" xr10:uidLastSave="{00000000-0000-0000-0000-000000000000}"/>
  <bookViews>
    <workbookView xWindow="-108" yWindow="-108" windowWidth="23256" windowHeight="12456" xr2:uid="{4A8C6DF8-51F3-417B-85D8-FD501FAEFE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</calcChain>
</file>

<file path=xl/sharedStrings.xml><?xml version="1.0" encoding="utf-8"?>
<sst xmlns="http://schemas.openxmlformats.org/spreadsheetml/2006/main" count="6405" uniqueCount="929">
  <si>
    <t>ANO</t>
  </si>
  <si>
    <t>MES</t>
  </si>
  <si>
    <t>Polo</t>
  </si>
  <si>
    <t>Subpolo</t>
  </si>
  <si>
    <t>CPF/CNPJ</t>
  </si>
  <si>
    <t>Prestador</t>
  </si>
  <si>
    <t>Classificacao</t>
  </si>
  <si>
    <t>CODIGO</t>
  </si>
  <si>
    <t>DESCRICAO</t>
  </si>
  <si>
    <t>QTD_PAGO</t>
  </si>
  <si>
    <t>VLR_PAGO</t>
  </si>
  <si>
    <t>INTERIOR</t>
  </si>
  <si>
    <t>10 BPM - PALMARES</t>
  </si>
  <si>
    <t>LAISA PALLOMA XIMENES DA SILVA</t>
  </si>
  <si>
    <t>HONORARIOS/PROCEDIMENTOS</t>
  </si>
  <si>
    <t>CONSULTA ODONTOLOGICA + RESTAURACAO</t>
  </si>
  <si>
    <t>CONSULTA ODONTOLOGICA + RASPAGEM SUPRA-GENGIVAL (TARTARECTOMIA)/PROFILAXIA (INCLUI APLICACAO DE FLUOR)</t>
  </si>
  <si>
    <t>14 BPM SERRA TALHADA</t>
  </si>
  <si>
    <t>LABORATORIO SAO FRANCISCO</t>
  </si>
  <si>
    <t>ACIDO URICO</t>
  </si>
  <si>
    <t>BILIRRUBINAS TOTAL DIRETA E INDIRETA</t>
  </si>
  <si>
    <t>CALCIO</t>
  </si>
  <si>
    <t>CLORO</t>
  </si>
  <si>
    <t>CREATININA</t>
  </si>
  <si>
    <t>FERRITINA</t>
  </si>
  <si>
    <t>FERRO SERICO</t>
  </si>
  <si>
    <t>FOSFATASE ALCALINA</t>
  </si>
  <si>
    <t>FOSFORO</t>
  </si>
  <si>
    <t>GAMA-GLUTAMIL-TRANSFERASE</t>
  </si>
  <si>
    <t>GLICOSE</t>
  </si>
  <si>
    <t>HEMOGLOBINA GLICOSILADA</t>
  </si>
  <si>
    <t>LIPIDOGRAMA (COLESTEROL TOTAL E FRACOES C/ TRIGLICERIDIO E ASPECTO DO SORO)</t>
  </si>
  <si>
    <t>MAGNESIO</t>
  </si>
  <si>
    <t>MUCOPROTEINAS</t>
  </si>
  <si>
    <t>POTASSIO</t>
  </si>
  <si>
    <t>RESERVA ALCALINA (BICARBONATO)</t>
  </si>
  <si>
    <t>SODIO</t>
  </si>
  <si>
    <t>TRANSAMINASE OXALACETICA (AMINO TRANSFERASE ASPARTATO)</t>
  </si>
  <si>
    <t>TRANSAMINASE PIRUVICA (AMINO TRANSFERASE DE ALANINA)</t>
  </si>
  <si>
    <t>UREIA</t>
  </si>
  <si>
    <t>VITAMINA B12, DOSAGEM</t>
  </si>
  <si>
    <t>PARASITOLOGICO  MINIMO 3 METODOS</t>
  </si>
  <si>
    <t>HEMOGRAMA COMPLETO (ERITROGRAMA+AVALIACAO DE PLAQUETAS)</t>
  </si>
  <si>
    <t>HEMOSSEDIMENTACAO, (VHS)</t>
  </si>
  <si>
    <t>CORTISOL</t>
  </si>
  <si>
    <t>ESTRADIOL</t>
  </si>
  <si>
    <t>FOLICULO ESTIMULANTE HORMONIO FSH</t>
  </si>
  <si>
    <t>INSULINA</t>
  </si>
  <si>
    <t>LUTEINIZANTE HORMONIO (LH)</t>
  </si>
  <si>
    <t>TESTOSTERONA TOTAL</t>
  </si>
  <si>
    <t>TSH (TIREOESTIMULANTE HORMONIO), TSH NEONATAL</t>
  </si>
  <si>
    <t>T4 L (TIROXINA LIVRE)</t>
  </si>
  <si>
    <t>PROVAS DE FUNCAO TIREOIDEANA (T3,T4 INDICES E TSH)</t>
  </si>
  <si>
    <t>TESTOSTERONA LIVRE</t>
  </si>
  <si>
    <t>TIREOGLOBULINA, DOSAGEM</t>
  </si>
  <si>
    <t>T3 LIVRE</t>
  </si>
  <si>
    <t>DEHIDROXI 1,25, VITAMINA D</t>
  </si>
  <si>
    <t>ANTI-TIREOGLOBULINA</t>
  </si>
  <si>
    <t>HEPATITE B - HBSAG (AU, ANTIGENO AUSTRALIA) - ELISA OU RIE</t>
  </si>
  <si>
    <t>FATOR  REUMATOIDE - TESTE DO LATEX</t>
  </si>
  <si>
    <t>IGE, TOTAL</t>
  </si>
  <si>
    <t>PROTEINA C REATIVA, PESQUISA</t>
  </si>
  <si>
    <t>SIFILIS - VDRL INCLUSIVE QUANTITATIVO, OU OUTRO CARDIOLIPINICO</t>
  </si>
  <si>
    <t>HEPATITE C - ANTI-HCV ELISA</t>
  </si>
  <si>
    <t>HIV1 + HIV2 (DETERMINACAO CONJUNTA) PESQUISA DE ANTICORPOS</t>
  </si>
  <si>
    <t>FATOR  ANTI-NUCLEO (FAN) - ELISA</t>
  </si>
  <si>
    <t>PSA LIVRE (INCLUI O PSA TOTAL)</t>
  </si>
  <si>
    <t>IMUNOGLOBULINAS - (IGG, IGA, IGM) IDR OU NEFELOMETRIA CADA</t>
  </si>
  <si>
    <t>CULTURA, URINA,CONTAGEM COLONIAS</t>
  </si>
  <si>
    <t>ROTINA DE URINA(CARACTERES FISICOS,ELEMENTOS ANORMAIS E SEDIMENTOSCOPIA)</t>
  </si>
  <si>
    <t>PROVAS DE FUNCAO HEPATICA(BILIRRUBINAS,ELET. DE PROT.,FA,TGO TGP E GAMAPGT)</t>
  </si>
  <si>
    <t>METAIS AL, AS, CD, CR, MN, HG, NI, ZN, CO, OUTRO (S) - ABSORCAO ATOMICA</t>
  </si>
  <si>
    <t>PROGESTERONA</t>
  </si>
  <si>
    <t>ISADORA BARROS CONSERVA CRUZ</t>
  </si>
  <si>
    <t>23 BPM - AFOGADOS DA INGAZEIRA</t>
  </si>
  <si>
    <t>CITO LAB</t>
  </si>
  <si>
    <t>AMILASE</t>
  </si>
  <si>
    <t>COLESTEROL TOTAL</t>
  </si>
  <si>
    <t>DESIDROGENASE LATICA</t>
  </si>
  <si>
    <t>LIPASE</t>
  </si>
  <si>
    <t>TRIGLICERIDEOS</t>
  </si>
  <si>
    <t>FRACOES  COLESTEROL LDL, HDL, VLDL INCLUI TRIGLICERIDEOS</t>
  </si>
  <si>
    <t>COAGULOGRAMA (TS, TC. P. LACO, R.C., CONTAGEM PLAQUETAS., T.P., T.T.P.A.)</t>
  </si>
  <si>
    <t>GRUPO SANGUINEO ABO, E FATOR RHO (INCLUI DU)</t>
  </si>
  <si>
    <t>TEMPO COAGULACAO (LEE-WHITE)</t>
  </si>
  <si>
    <t>TEMPO DA TROMBOPLASTINA PARCIAL ATIVADA</t>
  </si>
  <si>
    <t>HEPATITE B - HBSAC (ANTI ANTIGENO DE SUPERFICIE) - ELISA</t>
  </si>
  <si>
    <t>HEPATITE A - HAV - IGG - ELISA</t>
  </si>
  <si>
    <t>HEPATITE A - HAV + IGM - ELISA</t>
  </si>
  <si>
    <t>CEA - ANTIGENO CARCINOEMBRIOGENICO</t>
  </si>
  <si>
    <t>HIV1 OU HIV2 - ELISA PESQUISA DE ANTICORPOS</t>
  </si>
  <si>
    <t>CA - 19/9</t>
  </si>
  <si>
    <t>PSA (ANTIGENO PROSTATICO ESPECIFICO)</t>
  </si>
  <si>
    <t>5 DS POLICIAL DE PETROLINA</t>
  </si>
  <si>
    <t>BIOANALISES LABORATORIO DE ANALISES DIAG</t>
  </si>
  <si>
    <t>ACIDO FOLICO</t>
  </si>
  <si>
    <t>ALFA-FETO-PROTEINA</t>
  </si>
  <si>
    <t>CAPACIDADE DE FIXACAO DE FERRO</t>
  </si>
  <si>
    <t>PROTEINAS TOTAIS ALBUMINA E GLOBULINA</t>
  </si>
  <si>
    <t>TRANSFERRINA</t>
  </si>
  <si>
    <t>TEMPO DE PROTROMBINA</t>
  </si>
  <si>
    <t>DEHIDROEPIANDROSTERONA SULFATO DE (S-DHEA)</t>
  </si>
  <si>
    <t>DEHIDROTESTOSTERONA (DHT)</t>
  </si>
  <si>
    <t>GONADOTROFINA CORIONICA (BHCG), RIE, EIE, QUIMIOLUMINESCENCIA</t>
  </si>
  <si>
    <t>PROLACTINA</t>
  </si>
  <si>
    <t>T3 (TRIIODOTIRONINA)</t>
  </si>
  <si>
    <t>FATOR  ANTI-NUCLEO (FAN) - FIGADO DE RATO - IN PRINT - IFI</t>
  </si>
  <si>
    <t>ASLO - HEMOLISE OU LATEX</t>
  </si>
  <si>
    <t>PROTEINA C REATIVA, TURBID. OU NEFELOMETRICA</t>
  </si>
  <si>
    <t>CA - 125</t>
  </si>
  <si>
    <t>PESQUISA OU DOSAGEM DE UM COMPONENTE URINARIO</t>
  </si>
  <si>
    <t>8 BPM - SALGUEIRO</t>
  </si>
  <si>
    <t>LABORATORIO SERTANEJO DE ANALISES CLINICAS LTDA</t>
  </si>
  <si>
    <t>CALCIO IONICO</t>
  </si>
  <si>
    <t>SANGUE OCULTO, PESQUISA</t>
  </si>
  <si>
    <t>TEMPO DE COAGULACAO (CELITE)</t>
  </si>
  <si>
    <t>TEMPO DE SANGRAMENTO (DUKE)</t>
  </si>
  <si>
    <t>ESTRONA</t>
  </si>
  <si>
    <t>PROGESTERONA PLASMATICA</t>
  </si>
  <si>
    <t>PARATORMONIO PTH OU FRACAO (CADA)</t>
  </si>
  <si>
    <t>SHBG (GLOBULINA TRANSPORTADORA DE HORMONIOS SEXUAIS)</t>
  </si>
  <si>
    <t>ANTIBIOGRAMA (TESTES DE SENSIBILIDADE A ANTIBIOTICOS E QUIMOTERAPICOS) (POR BACTERIA)</t>
  </si>
  <si>
    <t>PRONTO SOCORRO SAO FRANCISCO</t>
  </si>
  <si>
    <t>DIARIAS / TAXAS</t>
  </si>
  <si>
    <t>DIARIA DE ACOMPANHANTE SOMENTE COM CAFE DA MANHA</t>
  </si>
  <si>
    <t>DIARIA COMPACTA DE ENFERMARIA DE 2 LEITOS COM BANHEIRO PRIVA</t>
  </si>
  <si>
    <t>OXIGENIO, POR MINUTO</t>
  </si>
  <si>
    <t>CONSULTA EM PRONTO SOCORRO</t>
  </si>
  <si>
    <t>CONSULTA COM UROLOGISTA</t>
  </si>
  <si>
    <t>CONSULTA EM CLINICA MEDICA</t>
  </si>
  <si>
    <t>VISITA HOSPITALAR</t>
  </si>
  <si>
    <t>TAXA DE SALA CIRURGICA, ATE 3 HORAS</t>
  </si>
  <si>
    <t>TAXA POR USO/SESSAO DE SALA CIRURGICA, CIRURGIA PEQUENA</t>
  </si>
  <si>
    <t>ELETROCARDIOGRAMA - ECG</t>
  </si>
  <si>
    <t>SEIOS DA FACE: F.N. - M.N. -  LAT.</t>
  </si>
  <si>
    <t>COLUNA CERVICAL: A.P. - LAT. - T.O.  - OBLIQUAS</t>
  </si>
  <si>
    <t>COLUNA DORSAL: A.P. - LATERAL</t>
  </si>
  <si>
    <t>COLUNA LOMBO-SACRA</t>
  </si>
  <si>
    <t>OMOPLATA OU OMBRO - TRES POSICOES</t>
  </si>
  <si>
    <t>ARTICULACAO COXO-FEMURAL (CADA LADO)</t>
  </si>
  <si>
    <t>JOELHO: A.P. - LATERAL</t>
  </si>
  <si>
    <t>JOELHO OU ROTULA: A.P. - LAT. - AXIAL</t>
  </si>
  <si>
    <t>ARTICULACAO TIBIO-TARSICA</t>
  </si>
  <si>
    <t>PE OU PODODACTILOS</t>
  </si>
  <si>
    <t>TORAX: P.A.</t>
  </si>
  <si>
    <t>TORAX: P.A. - LAT.</t>
  </si>
  <si>
    <t>MAMOGRAFIA BILATERAL</t>
  </si>
  <si>
    <t>DENSITOMETRIA OSSEA DUO ENERGETICA COLUNA LOMBAR + FEMUR OU DOIS SEGMENTOS</t>
  </si>
  <si>
    <t>ABDOMEN TOTAL (ABDOMEN SUPERIOR, RETROPERITONIO, RINS, BEXIGA)</t>
  </si>
  <si>
    <t>APARELHO URINARIO RINS E BEXIGA</t>
  </si>
  <si>
    <t>ARTICULACOES</t>
  </si>
  <si>
    <t>ORGAOS E ESTRUTURAS SUPERFICIAIS MAMAS, TIREOIDE, CERVICAL</t>
  </si>
  <si>
    <t>PELVICA TRANSVAGINAL</t>
  </si>
  <si>
    <t>PROSTATA VIA ABDOMINAL</t>
  </si>
  <si>
    <t>PELVICA VIA ABDOMINAL PARA CONTROLE DE OVULACAO (3 OU MAIS EXAMES)</t>
  </si>
  <si>
    <t>OBSTETRICA : COM DOPPLER COLORIDO</t>
  </si>
  <si>
    <t>DOPPLER COLORIDO DE ORGAO OU ESTRUTURA ISOLADA (RINS, MASSA, NODULO, OVARIO, ETC.)</t>
  </si>
  <si>
    <t>TOMOGRAFIA COMPUTADORIZADA DE ABDOMEN SUPERIOR</t>
  </si>
  <si>
    <t>TOMOGRAFIA COMPUTADORIZADA DAS ARTICULACOES (ESTERNO-CLAVICULAR, OMBROS, COTOVELO, PUNHO, SACRO-ILIACA, COXO-FEMURAIS, JOELHO, PES)</t>
  </si>
  <si>
    <t>TOMOGRAFIA COMPUTADORIZADA COLUNA CERVICAL, DORSAL OU LOMBAR ATE 3 SEGMENTOS</t>
  </si>
  <si>
    <t>TOMOGRAFIA COMPUTADORIZADA DE CRANIO OU ORBITAS OU SELA TURSICA</t>
  </si>
  <si>
    <t>TOMOGRAFIA COMPUTADORIZADA DE PELVE OU BACIA</t>
  </si>
  <si>
    <t>TOMOGRAFIA COMPUTADORIZADA DO TORAX</t>
  </si>
  <si>
    <t>HERNIORRAFIA INGUINAL - UNILATERAL</t>
  </si>
  <si>
    <t>HERNIORRAFIA UMBILICAL</t>
  </si>
  <si>
    <t>AMIGDALECTOMIA DAS PALATINAS</t>
  </si>
  <si>
    <t>BIOPSIA DE PELE, MUCOSA, TUMORES SUPERFICIAIS DE TECIDO CELULAR SUBCUTANEO , GANGLIOS, ETC.</t>
  </si>
  <si>
    <t>EXERESE DE CISTO DERMOIDE</t>
  </si>
  <si>
    <t>EXERESE UNGUEAL</t>
  </si>
  <si>
    <t>CANTOPLASTIA UNGUEAL</t>
  </si>
  <si>
    <t>DILATACAO ENDOSCOPICA UNILATERAL</t>
  </si>
  <si>
    <t>URETEROLITOTOMIA TRANSURETEROSCOPICA</t>
  </si>
  <si>
    <t>IMPLANTE DE PROTESE URETERAL TRANSURETEROSCOPICA</t>
  </si>
  <si>
    <t>MATERIAS</t>
  </si>
  <si>
    <t>COLETOR DE URINA 2000ML SISTEMA FECHADO</t>
  </si>
  <si>
    <t>TIRA PARA MEDICAO DE GLICOSE FREE G-TECH</t>
  </si>
  <si>
    <t>SERINGA HIPODERMICA ESTERIL BICO LUER SLIP 3ML C/ AG 25 X 0,</t>
  </si>
  <si>
    <t>SONDA ENDOTRAQUEAL I.D. 5,5MM C/ BALAO</t>
  </si>
  <si>
    <t>SONDA URETRAL N. 12</t>
  </si>
  <si>
    <t>FIO CIRURGICO POLIPROPILENO (PROLENE) 0 C/ AG. 3,5CM</t>
  </si>
  <si>
    <t>SONDA DE FOLEY N. 20 2 VIAS 30ML - C/ BALAO</t>
  </si>
  <si>
    <t>SERINGA HIPODERMICA ESTERIL BICO LUER SLIP 1ML C/ AG 13 X 4,</t>
  </si>
  <si>
    <t>SONDA URETRAL N. 14</t>
  </si>
  <si>
    <t>FIO CIRURGICO POLIGLACTINA 910 (VICRYL) 1 C/AG. 4,0CM</t>
  </si>
  <si>
    <t>SERINGA HIPODERMICA ESTERIL BICO LUER SLIP 20ML C/ AG 25 X 0</t>
  </si>
  <si>
    <t>ESPARADRAPO 10CM</t>
  </si>
  <si>
    <t>AGULHA P/ RAQUI DESC. N.27 PONTA QUINCKE BD</t>
  </si>
  <si>
    <t>FIO CIRURGICO NYLON 4-0 C/AG 2,4CM</t>
  </si>
  <si>
    <t>FIO CIRURGICO NYLON 3-0 C/AG 3,5CM</t>
  </si>
  <si>
    <t>FIO CIRURGICO ALGODAO 0 S/ AG.</t>
  </si>
  <si>
    <t>FIO CIRURGICO BIOGUT SIMPLES 2-0 C/ AG 4,0CM</t>
  </si>
  <si>
    <t>SERINGA HIPODERMICA ESTERIL BICO LUER SLIP 10ML C/ AG 25 X 0</t>
  </si>
  <si>
    <t>COMPRESSA DE GAZE ESTERIL 7,5CM X 7,5CM FECHADA - 11 FIOS -</t>
  </si>
  <si>
    <t>LUVA CIRURGICA ESTERIL N 7,5</t>
  </si>
  <si>
    <t>CATETER NASAL TIPO OCULOS P/ OXIGENIO</t>
  </si>
  <si>
    <t>LAMINA DE BISTURI N.24</t>
  </si>
  <si>
    <t>AGULHA HIPODERMICA DESCARTAVEL 40X1,2MM</t>
  </si>
  <si>
    <t>EQUIPO MACROGOTAS C/ INJETOR LATERAL  FLEX.</t>
  </si>
  <si>
    <t>EXTENSOR EQUIPO 12FR LUER LOCK 120CM</t>
  </si>
  <si>
    <t>CONEXAO 2 VIAS C/ CLAMP</t>
  </si>
  <si>
    <t>ELETRODO P/MONITORACAO CARDIACA DE ESPUMA</t>
  </si>
  <si>
    <t>EQUIPO 4 VIAS C/ CLAMP/LUER</t>
  </si>
  <si>
    <t>SERINGA HIPODERMICA ESTERIL BICO LUER SLIP 5ML C/ AG 25 X 0,</t>
  </si>
  <si>
    <t>CATETER INTRAVENOSO PERIFERICO N22G</t>
  </si>
  <si>
    <t>MEDICAMENTOS</t>
  </si>
  <si>
    <t>CLENIL A 400MCG/ML</t>
  </si>
  <si>
    <t>BROMOPRIDA 5MG/ML 2ML (10MG) EV/IM</t>
  </si>
  <si>
    <t>CINARIZINA 25MG</t>
  </si>
  <si>
    <t>LOSARTANA POTASSICA 50MG</t>
  </si>
  <si>
    <t>HIDROCLOROTIAZIDA 25MG</t>
  </si>
  <si>
    <t>INDAPAMIDA 1,5MG</t>
  </si>
  <si>
    <t>AMIODARONA 100MG</t>
  </si>
  <si>
    <t>BESILATO DE CISATRACURIO 2ML/ML 5ML (10MG)</t>
  </si>
  <si>
    <t>SOL. CLORETO DE SODIO 0,9% 100ML</t>
  </si>
  <si>
    <t>SOL. CLORETO DE SODIO 0,9% 250ML</t>
  </si>
  <si>
    <t>ATENSINA  0,100MG</t>
  </si>
  <si>
    <t>CLORIDRATO DE DIFENIDRAMINA 50MG/ML 1ML EV/IM</t>
  </si>
  <si>
    <t>NEOCAINA 0,5% + GLICOSE 8% PESADA 4ML IT</t>
  </si>
  <si>
    <t>BROMAZEPAM 6MG</t>
  </si>
  <si>
    <t>CEFTRIAXONA 1G EV</t>
  </si>
  <si>
    <t>CETOPROFENO 100MG EV</t>
  </si>
  <si>
    <t>ESPIRONOLACTONA 25MG</t>
  </si>
  <si>
    <t>AGUA PARA INJECAO 10ML</t>
  </si>
  <si>
    <t>GLICOSE 50%</t>
  </si>
  <si>
    <t>ONDANSETRONA 2MG/ML 2ML (4MG) EV/IM</t>
  </si>
  <si>
    <t>BROMETO DE IPRATROPIO 0,25MG/ML GTS</t>
  </si>
  <si>
    <t>BUTILBROMETO DE ESCOPOLAMINA 4MG/ML + DIPIRONA MONOIDRATADA</t>
  </si>
  <si>
    <t>FENTANILA 0,05MG/ML 2ML (10MCG) EV</t>
  </si>
  <si>
    <t>VITAMINA K  (FITOMENADIONA) 10MG</t>
  </si>
  <si>
    <t>EPINEFRINA  1MG/ML EV</t>
  </si>
  <si>
    <t>MIDAZOLAM 5MG (1MG/ML 5ML) EV/IM</t>
  </si>
  <si>
    <t>MORFINA 0,2 MG/ML 1ML EV</t>
  </si>
  <si>
    <t>FLORAX SM FRAMBOESA ADT</t>
  </si>
  <si>
    <t>SEVOFLURANO 1ML/ML SOLUCAO INALANTE 250ML</t>
  </si>
  <si>
    <t>SOL. DE RINGER C/ LACTATO 500ML</t>
  </si>
  <si>
    <t>SOL. CLORETO DE SODIO 0,9% 1000 ML</t>
  </si>
  <si>
    <t>ONDANSETRONA 2MG/ML 4ML (8MG) EV/IM</t>
  </si>
  <si>
    <t>CEFALOTINA SODICA 1G EV/IM</t>
  </si>
  <si>
    <t>DICLOFENACO SODICO 25MG/ML 3ML (75MG) EV</t>
  </si>
  <si>
    <t>DEXAMETASONA 4MG/ML 2,5ML (10MG) EV/IM</t>
  </si>
  <si>
    <t>DEFLAZACORTE 30MG</t>
  </si>
  <si>
    <t>RIVOTRIL 0,25MG SL</t>
  </si>
  <si>
    <t>PROMETAZINA 25MG/ML 2ML IM</t>
  </si>
  <si>
    <t>CLORIDRATO DE ETILEFRINA 10MG/ML EV/IM</t>
  </si>
  <si>
    <t>CLORETO DE SUXAMETONIO 100MG EV/IM</t>
  </si>
  <si>
    <t>BETAISTINA 24MG</t>
  </si>
  <si>
    <t>OMNIPAQUE 300</t>
  </si>
  <si>
    <t>PARACETAMOL 200MG/ML GTS</t>
  </si>
  <si>
    <t>XYLESTESIN 2%  GELEIA TOPICA 30G</t>
  </si>
  <si>
    <t>XYLESTESIN 2,0% S/ VASOCONSTRITOR  20ML</t>
  </si>
  <si>
    <t>DIPIRONA SODICA 50MG/ML XPE</t>
  </si>
  <si>
    <t>ACIDO TRANEXAMICO 50MG/ML 5ML (250MG) EV</t>
  </si>
  <si>
    <t>METFORMINA 850MG</t>
  </si>
  <si>
    <t>TRAMADOL 50MG/ML 2ML (100MG) EV</t>
  </si>
  <si>
    <t>HIDROCORTISONA 100MG EV</t>
  </si>
  <si>
    <t>SUCCINATO DE METOPROLOL 100MG</t>
  </si>
  <si>
    <t>BROMETO DE ROCURONIO 10MG/ML 5ML (50MG) EV</t>
  </si>
  <si>
    <t>FUROSEMIDA 40MG EV/IM</t>
  </si>
  <si>
    <t>ROSUVASTATINA CALCICA 20MG</t>
  </si>
  <si>
    <t>SIMETICONA 75MG/ML GTS</t>
  </si>
  <si>
    <t>KETAMIN 50MG/ML 10ML (500MG) EV/IM</t>
  </si>
  <si>
    <t>CIMETIDINA 150MG/ML 2ML EV/IM</t>
  </si>
  <si>
    <t>PROPOFOL 10MG/ML 10ML EV</t>
  </si>
  <si>
    <t>METARAMINOL 10MG/ML 1ML EV/IM</t>
  </si>
  <si>
    <t>FLUMAZENIL 0,1 MG/ML 5ML (0,5ML) EV</t>
  </si>
  <si>
    <t>SOL. CLORETO DE SODIO 0,9% 500ML</t>
  </si>
  <si>
    <t>OMEPRAZOL 40MG EV</t>
  </si>
  <si>
    <t>SULFATO DE MAGNESIO 10% 10ML</t>
  </si>
  <si>
    <t>FENTANILA 0,05MG/ML 10ML (50MCG) EV</t>
  </si>
  <si>
    <t>ATROPINA  0,25% IM/EV/SC</t>
  </si>
  <si>
    <t>DIPIRONA 500MG/ML 2ML (1G) EV</t>
  </si>
  <si>
    <t>REMIFENTANILA 2MG</t>
  </si>
  <si>
    <t>TANSULOSINA 0,4MG</t>
  </si>
  <si>
    <t>LABORATORIO PETRI SALGUEIRO</t>
  </si>
  <si>
    <t>CREATINO FOSFOQUINASE</t>
  </si>
  <si>
    <t>CREATINO FOSFOQUINASE - FRACAO MB</t>
  </si>
  <si>
    <t>ELETROFORESE DE PROTEINAS</t>
  </si>
  <si>
    <t>GLICEMIA APOS SOBRECARGA COM DEXTROSOL OU GLICOSE</t>
  </si>
  <si>
    <t>APOLIPOPROTEINA A OU B , LIPOPROTEINA A (LP A) E OUTRAS, POR TURBIDIMETRIA CINETICA, NEFELOMETRIA OU IDR (CADA)</t>
  </si>
  <si>
    <t>TROPONINA</t>
  </si>
  <si>
    <t>FIBRINOGENIO, DOSAGEM</t>
  </si>
  <si>
    <t>ANTI-MICROSSOMAL (TIREOIDIANO)</t>
  </si>
  <si>
    <t>TOXOPLASMOSE - ELISA - IGG E IGM (CADA)</t>
  </si>
  <si>
    <t>CITOMEGALOVIRUS - IGM - ELISA</t>
  </si>
  <si>
    <t>CITOMEGALOVIRUS - IGG - PESQUISA E/OU DOSAGEM</t>
  </si>
  <si>
    <t>HEMOCULTURA (POR AMOSTRA)</t>
  </si>
  <si>
    <t>9 BPM - GARANHUNS</t>
  </si>
  <si>
    <t>CARDIO IMAGEM MEDICOS LTDA</t>
  </si>
  <si>
    <t>CONSULTA COM  CARDIOLOGISTA</t>
  </si>
  <si>
    <t>SISTEMA HOLTER  24 HORAS  2 OU MAIS CANAIS</t>
  </si>
  <si>
    <t>ECOCARDIOGRAMA BIDIMENSIONAL COM MAPEAMENTO DE FLUXO A CORES</t>
  </si>
  <si>
    <t>RMR</t>
  </si>
  <si>
    <t>RECIFE</t>
  </si>
  <si>
    <t>CEMUPE  CENTRO DE MEDICINA NUCLEAR DE PERNAMBUCO LTDA</t>
  </si>
  <si>
    <t>CINTILOGRAFIA DO MIOCARDIO PERFUSAO  REPOUSO E ESTRESSE</t>
  </si>
  <si>
    <t>CINTILOGRAFIA OSSEA (CORPO TOTAL)</t>
  </si>
  <si>
    <t>SERINGA DE 10 CC C/AGULHA [PM]</t>
  </si>
  <si>
    <t>SCALP SIMPRO [PM]</t>
  </si>
  <si>
    <t>CINTINTILOGRAFIA OSSEA (PMPE)</t>
  </si>
  <si>
    <t>CINT. PERFUSAO REPOUSO ESTRESS(PMPE)</t>
  </si>
  <si>
    <t>RENAL SERVICES LTDA SOS RENAL</t>
  </si>
  <si>
    <t>IMPLANTE DE CATETER VENOSO CENTRAL PARA HEMODIALISE</t>
  </si>
  <si>
    <t>HEMODIALISE POR SESSAO - HEMODEPURACAO DE CASOS AGUDOS - 04 HORAS (HEMODIALISE, HEMOFILTRACAO, HEMODIAFILTRACAO ISOLADA) (INCLUI ACOMPAN. MEDICO + EQUIPE TECNICA P/ REALIZACAO DO PROCEDIMENTO + TRANSPORTE P/ DESLOCAMENTO DOS MATERIAIS E EQUIPAMENTOS)</t>
  </si>
  <si>
    <t>HEMODIALISE POR SESSAO - HEMODEPURACAO DE CASOS AGUDOS - 12 HORAS (HEMODIALISE, HEMOFILTRACAO, HEMODIAFILTRACAO ISOLADA) (INCLUI ACOMPAN. MEDICO + EQUIPE TECNICA P/ REALIZACAO DO PROCEDIMENTO + TRANSPORTE P/ DESLOCAMENTO DOS MATERIAIS E EQUIPAMENTOS)</t>
  </si>
  <si>
    <t>CENTRO DE DIAGNOSTICO JOSE ROCHA DE SA LTDA</t>
  </si>
  <si>
    <t>ELETRONEUROMIOGRAFIA - POR MEMBRO OU SEGMENTO</t>
  </si>
  <si>
    <t>TOMOGRAFIA COMPUTADORIZADA FACE OU SEIOS DA FACE OU ARTICULACOES TEMPORO-MANDIBULARES</t>
  </si>
  <si>
    <t>TOMOGRAFIA COMPUTADORIZADA DE MASTOIDES OU OUVIDOS</t>
  </si>
  <si>
    <t>AMPLIAR ANALISES PATOLOGICAS</t>
  </si>
  <si>
    <t>COLORACAO ESPECIAL POR COLORACAO</t>
  </si>
  <si>
    <t>PROCEDIMENTO DIAGNOSTICO EM BIOPSIA SIMPLES IMPRINT E CELL BLOCK</t>
  </si>
  <si>
    <t>PROCEDIMENTO DIAGNOSTICO EM FRAGMENTOS MULTIPLOS DE BIOPSIAS DE MESMO ORGAO OU TOPOGRAFIA, ACONDICIONADOS EM UM MESMO FRASCO</t>
  </si>
  <si>
    <t>PROCEDIMENTO DIAGNOSTICO EM GRUPOS DE LINFONODOS, ESTRUTURAS VIZINHAS E MARGENS DE PECAS ANATOMICAS SIMPLES OU COMPLEXAS (POR MARGEM) -MAXIMO DE 3 MARGENS</t>
  </si>
  <si>
    <t>PROCEDIMENTO DIAGNOSTICO EM LAMINAS DE PAAF ATE 5</t>
  </si>
  <si>
    <t>PROCEDIMENTO DIAGNOSTICO EM PAINEL DE IMUNOISTOQUIMICA (DUAS A CINCO REACOES)</t>
  </si>
  <si>
    <t>PROCEDIMENTO DIAGNOSTICO EM PECA ANATOMICA OU CIRURGICA SIMPLES</t>
  </si>
  <si>
    <t>PROCEDIMENTO DIAGNOSTICO EM PECA CIRURGICA OU ANATOMICA COMPLEXA</t>
  </si>
  <si>
    <t>PROCEDIMENTO DIAGNOSTICO EM REVISAO DE LAMINAS OU CORTES HISTOLOGICOS SERIADOS</t>
  </si>
  <si>
    <t>ONKOS  CLINICA DE ONCOLOGIA LTDA</t>
  </si>
  <si>
    <t>CONSULTA COM  ONCOLOGISTA</t>
  </si>
  <si>
    <t>QUIMIOTERAPIA SISTEMICA DO 2.   AO  7.   DIA SUBSEQUENTE NA SEMANA, POR DIA DE TRATAMENTO</t>
  </si>
  <si>
    <t>QUIMIOTERAPIA SISTEMICA DO 2   AO 7   DIA SUBSEQUENTE NA SEMANA, POR DIA DE TRATAMENTO</t>
  </si>
  <si>
    <t>CABINE FLUXO LAMINAR</t>
  </si>
  <si>
    <t>AGULHA HIPODERMICA  13 X 4.5  BD</t>
  </si>
  <si>
    <t>AGULHA HIPO PRECISIONGLIDE 25 X 7  BD</t>
  </si>
  <si>
    <t>AGULHA DE ASPIRACAO BD25X12</t>
  </si>
  <si>
    <t>JELCO 24G - SMITHS MEDICAL</t>
  </si>
  <si>
    <t>JELCO INTROCAN SAFETY G24</t>
  </si>
  <si>
    <t>EQ.INT.PRIMELINE AIR IL401450P B/BRAUN</t>
  </si>
  <si>
    <t>EQ.INTRAFIX COMPACT AIR FS 441723P</t>
  </si>
  <si>
    <t>EQ.INTRAFIX COMPACT AIR IL 441702P</t>
  </si>
  <si>
    <t>EQ.INTR.COMP.AIR IL PVC FREE STE.441707P</t>
  </si>
  <si>
    <t>EQ.POLIFIX 2 SPIN LOCK 409102</t>
  </si>
  <si>
    <t>SER.PLASTIPAK 3MLC/AGULHA LL 990627 BD</t>
  </si>
  <si>
    <t>SER.PLASTIPAK 5 ML C/AGULHA LL990628 BD</t>
  </si>
  <si>
    <t>SER. PLASTIPAK 10ML S/AGULHA LL BD</t>
  </si>
  <si>
    <t>SER.PLASTIPAK 20ML S/AGULHA LL990687 BD</t>
  </si>
  <si>
    <t>INFUSOR AUTOFUSER 100ML 2ML/H CONT BMR</t>
  </si>
  <si>
    <t>EQ P/INF  EV-HART AIR FILTRO LL IS.PVC - 78209641</t>
  </si>
  <si>
    <t>INTRAFIX COMPACT AIR IL PVC FREE 441704P</t>
  </si>
  <si>
    <t>AGULHA HUBB SAFESTEP  20GX075 19MM</t>
  </si>
  <si>
    <t>EPOSIDO 100MG FA - BLAU FARM</t>
  </si>
  <si>
    <t>DIFENIDRIN 50MG/ML SOL.INJ. CRISTALIA</t>
  </si>
  <si>
    <t>HEMOFOL (HEPARINA) 5.000UI/ML - FA 5ML - 90046501</t>
  </si>
  <si>
    <t>FLUSAN (FAULDFLUOR) 50 mg/mlX 20 ml (100MG) - EUROF- 90068688</t>
  </si>
  <si>
    <t>FOLINATO DE CALCIO 300MG</t>
  </si>
  <si>
    <t>SORO FISIOL 09 E.PLUS 500 ML B/BRAUN</t>
  </si>
  <si>
    <t>SORO FISIOL 09 ECOFLAC PLUS 250 ML</t>
  </si>
  <si>
    <t>SORO FISIOL 09 M.FLAC 100 ML - B/BRAUN</t>
  </si>
  <si>
    <t>SORO GLIC 5 ECOF.PLUS 250 ML - B/BRAUN</t>
  </si>
  <si>
    <t>SOL GLICOSE 5% - 100ML - 90123204</t>
  </si>
  <si>
    <t>SORO GLIC 5 ECOF.PLUS 500 ML - B/BRAUN</t>
  </si>
  <si>
    <t>CIMETIDINA 150MG/ML X2ML SOL.INJ.</t>
  </si>
  <si>
    <t>FAULDCISPLA (CISPLATINA)1MG/ML - 50MG - 90144384</t>
  </si>
  <si>
    <t>FAULDFLUOR  500MGLIBBS</t>
  </si>
  <si>
    <t>FAULDFLUOR  2,5G / 50ML (2500MG) - 90144473</t>
  </si>
  <si>
    <t>ERBITUX 5MG/ML - 100MG - 90160266</t>
  </si>
  <si>
    <t>AVASTIN 100MG SOL.INJ.25MG/4ML I.V.</t>
  </si>
  <si>
    <t>HERCEPTIN 440MG 1FA</t>
  </si>
  <si>
    <t>DEXAMETASONA 4MG/ML - 10MG - 90210514</t>
  </si>
  <si>
    <t>ALFAEPOETINA HUMANA 40.000UI - 90219325</t>
  </si>
  <si>
    <t>YERVOY 50 mg. inj. cx. 1 FA 10 ml - 90255224</t>
  </si>
  <si>
    <t>TREBYXAN (CLOR IRINOTECANO) 20MG/ML - 100MG - 90265700</t>
  </si>
  <si>
    <t>ACIDO  ZOLEDRONICO 4MG/5ML - 90278690</t>
  </si>
  <si>
    <t>SOL CLORETO DE SODIO 0,9% - AMP 10ML - 90289870</t>
  </si>
  <si>
    <t>PERJETA 420ML FA</t>
  </si>
  <si>
    <t>NAUSEDRON 2 mg/mlx 4 ml sol. inj - 8MG - 90302842</t>
  </si>
  <si>
    <t>SANDOSTATIN LAR 30MG</t>
  </si>
  <si>
    <t>KADCYLA 100MG SOL INJ IV FA</t>
  </si>
  <si>
    <t>CLORIDRATO DE ONDANSETRONA 2MG/4ML - 8MG - 90338227</t>
  </si>
  <si>
    <t>JAKACI 20MG RUXOLITINIB</t>
  </si>
  <si>
    <t>OPDIVO - 40MG - 90348737</t>
  </si>
  <si>
    <t>FIRMAGON 80MG</t>
  </si>
  <si>
    <t>KYPROLIS 60MG PO LIOF SOL.INJ 1FA AMGEN</t>
  </si>
  <si>
    <t>TAGRISSO 80 mg. ct. bl. al. x 30 cprs. rev. - 90372956</t>
  </si>
  <si>
    <t>DALINVI 100MG</t>
  </si>
  <si>
    <t>HEPTAR 5.000UI/ML - FA 5ML - 90399412</t>
  </si>
  <si>
    <t>ERLEADA 60MG APALUTAMIDA</t>
  </si>
  <si>
    <t>ZEDORA 440MG - 90406907</t>
  </si>
  <si>
    <t>KISQALI 200 mg. ct. bl.x 63 cprs. rev. - 90409795</t>
  </si>
  <si>
    <t>TECENTRIQ 1200 mg. sol. dil. infus. IV FA  - 90411919</t>
  </si>
  <si>
    <t>ACETATO DE ABIRATERONA-250MG-120CP SUN</t>
  </si>
  <si>
    <t>VENCLEXTA 100MG 120CP</t>
  </si>
  <si>
    <t>EVEROLIMO bl. al. plas.trans. x 28 cprs. - 90423860</t>
  </si>
  <si>
    <t>LYNPARZA 150MG CT.BL.AL..X56 CP RE ASTRA</t>
  </si>
  <si>
    <t>EMAH 25 MG EXEMESTANO</t>
  </si>
  <si>
    <t>XGEVA 120MG SOL INJ FA  VC INC 17ML</t>
  </si>
  <si>
    <t>LENVIMA 10MG BL 30CAPS UNITED MED</t>
  </si>
  <si>
    <t>VIVAXXIA (RITUXIMABE) - 500MG - 90444086</t>
  </si>
  <si>
    <t>PARACETAMOL 750MG - 90447735</t>
  </si>
  <si>
    <t>ZOLADEX 36MG SRG.PREENCHIDA</t>
  </si>
  <si>
    <t>OXALIPLATINA 5MG/ML - 100MG - 90487486</t>
  </si>
  <si>
    <t>ATROPINA 025MG/ML - 1ML</t>
  </si>
  <si>
    <t>REVLIMID 25 mg ct. bl x 21 caps. dura - 90536274</t>
  </si>
  <si>
    <t>KEYTRUDA 100MG</t>
  </si>
  <si>
    <t>ELOVIE(BEVACIZUMABE) 25MG/ML - 100MG - 90538048</t>
  </si>
  <si>
    <t>FOLINATO DE CALCIO 10MG/ML - 50MG - 90542576</t>
  </si>
  <si>
    <t>NUVYOR 15 mg ct. bl. al. plas. PVC/PCTFE x21 caps - 90542797</t>
  </si>
  <si>
    <t>POMALYST 2MG POMALIDOMIDA C/ 21</t>
  </si>
  <si>
    <t>AZACITIDINA 100MG - 90563301</t>
  </si>
  <si>
    <t>CALQUENCE COMP 100 mg ct. x 60 cprs. - 90567250</t>
  </si>
  <si>
    <t>XTANDI 40MG ENZALUTAMIDA COMP</t>
  </si>
  <si>
    <t>TALVEY 40 mg/mlx 1.0 ml sol. inj. SC ct. FA - 90583523</t>
  </si>
  <si>
    <t>SINGULAR SERVICOS DE SAUDE LTDA</t>
  </si>
  <si>
    <t>ACIDO ASCORBICO</t>
  </si>
  <si>
    <t>ALFA-1-ANTITRIPSINA</t>
  </si>
  <si>
    <t>ALFA-1-GLICOPROTEINA ACIDA</t>
  </si>
  <si>
    <t>CERULOPLASMINA</t>
  </si>
  <si>
    <t>CLEARANCE DE CREATININA</t>
  </si>
  <si>
    <t>LACTOSE, TESTE DE TOLERANCIA</t>
  </si>
  <si>
    <t>VITAMINA A, DOSAGEM</t>
  </si>
  <si>
    <t>GASOMETRIA + HB + HT + NA + K + CL + CA + GLICOSE + LACTATO (QDO EFETUADA NO GASOMETRO)</t>
  </si>
  <si>
    <t>ESPERMOGRAMA (CARACT.FISICOS,PH,FLUIDIF.,MOTIL.,VITAL., IDADE, CONT. E MORFOL.</t>
  </si>
  <si>
    <t>GORDURA FECAL, DOSAGEM</t>
  </si>
  <si>
    <t>ANTI-TROMBINA III, DOSAGEM</t>
  </si>
  <si>
    <t>COOMBS DIRETO</t>
  </si>
  <si>
    <t>HEMOGLOBINA, ELETROFORESE EM GEL AMIDO OU ACETATO DE CELULOSE</t>
  </si>
  <si>
    <t>ANTI-COAGULANTE LUPICO (INIBIDOR LUPICO)</t>
  </si>
  <si>
    <t>PROTEINA C</t>
  </si>
  <si>
    <t>PROTEINA S</t>
  </si>
  <si>
    <t>ADRENOCORTICOTROFICO (ACTH)</t>
  </si>
  <si>
    <t>ALDOSTERONA</t>
  </si>
  <si>
    <t>DEHIDROEPIANDROSTERONA (DHEA)</t>
  </si>
  <si>
    <t>ESTRIOL</t>
  </si>
  <si>
    <t>ESTROGENIOS TOTAIS (FENOLESTEROIDES)</t>
  </si>
  <si>
    <t>SOMATOMEDINA C</t>
  </si>
  <si>
    <t>PEPTIDIO C</t>
  </si>
  <si>
    <t>TRAB (ANTI-CORPO E ANTI-RECEPTOR DE TSH)</t>
  </si>
  <si>
    <t>GAD-AB - ANTI-DESCARBOXILASE DO ACIDO</t>
  </si>
  <si>
    <t>ANTI-DNA - IFI OU HA</t>
  </si>
  <si>
    <t>HEPATITE B - HBCAC IGG (ANTI CORE IGG OU ACOREG) - ELISA</t>
  </si>
  <si>
    <t>ANTI-MITOCONDRIA - IFI</t>
  </si>
  <si>
    <t>ANTI-MUSCULO LISO,IFI</t>
  </si>
  <si>
    <t>HEPATITE B - HBEAG (ANTIGENO E)</t>
  </si>
  <si>
    <t>CHAGAS, - IFI - IGG</t>
  </si>
  <si>
    <t>IGA, IDIR</t>
  </si>
  <si>
    <t>IGG, IDIR</t>
  </si>
  <si>
    <t>IGM, IDIR</t>
  </si>
  <si>
    <t>RUBEOLA ANTICORPO IGM - ELISA</t>
  </si>
  <si>
    <t>RUBEOLA ANTICORPO IGG - ELISA</t>
  </si>
  <si>
    <t>SIFILIS - FTA - ABS - IGG</t>
  </si>
  <si>
    <t>ANTI-RO/SSA - IMUNODIFUSAO (IDI) DUPLA</t>
  </si>
  <si>
    <t>ANTI-LA/SSB - IMUNODIFUSAO (IDI) DUPLA</t>
  </si>
  <si>
    <t>ANTI-SM</t>
  </si>
  <si>
    <t>HEPATITE B - HBEAC IGM (ANTI CORE IGM OU ACOREM) - ELISA</t>
  </si>
  <si>
    <t>ANTI-RNP - IMUNODIFUSAO (IDI) DUPLA</t>
  </si>
  <si>
    <t>BETA-2 MICROGLOBULINA</t>
  </si>
  <si>
    <t>HERPES SIMPLES - IGG - ELISA</t>
  </si>
  <si>
    <t>HERPES SIMPLES - IGM - ELISA</t>
  </si>
  <si>
    <t>HERPES ZOSTER - IGG - ELISA</t>
  </si>
  <si>
    <t>HERPES ZOSTER - IGM - ELISA</t>
  </si>
  <si>
    <t>CA - 15/3</t>
  </si>
  <si>
    <t>ANTI-GLIADINA (GLUTEN), ELISA - IGG E IGA (CADA)</t>
  </si>
  <si>
    <t>CA - 72/4</t>
  </si>
  <si>
    <t>ANTI CARDIOLIPINA - ELISA - IGG</t>
  </si>
  <si>
    <t>ANTI CARDIOLIPINA - ELISA - IGM</t>
  </si>
  <si>
    <t>ANTI PEROXIDASE TIREOIDEANA</t>
  </si>
  <si>
    <t>CITOMEGALOVIRUS - IGM PESQUISA E/OU DOSAGEM</t>
  </si>
  <si>
    <t>FATOR  ANTI-NUCLEO (FAN) - HEP2 - IFI</t>
  </si>
  <si>
    <t>IGE, GRUPO ESPECIFICO (CADA)</t>
  </si>
  <si>
    <t>IGE, POR ALERGENO (CADA)</t>
  </si>
  <si>
    <t>ANTICORPO ANTIENDOMISIO IGA</t>
  </si>
  <si>
    <t>ANTICORPO ANTITRANSGLUTAMINASE IGA</t>
  </si>
  <si>
    <t>CULTURA, FUNGOS (MICOSES  SUPERFICIAIS)</t>
  </si>
  <si>
    <t>CULTURA, FUNGOS (MICOSES  PROFUNDAS)</t>
  </si>
  <si>
    <t>CULTURA AUTOMATIZADA</t>
  </si>
  <si>
    <t>HEMOCULTURA AUTOMATIZADA (POR AMOSTRA)</t>
  </si>
  <si>
    <t>PROTEINAS DE BENCE JONES, PESQUISA</t>
  </si>
  <si>
    <t>MICROALBUMINURIA (RIE, TURBID., NEFELOMETRIA)</t>
  </si>
  <si>
    <t>ACIDO CITRICO (CITRATO)</t>
  </si>
  <si>
    <t>HEPATITE B (QUALITATIVO)</t>
  </si>
  <si>
    <t>HEPATITE B (QUANTITATIVO)</t>
  </si>
  <si>
    <t>FATOR V DE LAYDEN POR PCR - PESQUISA</t>
  </si>
  <si>
    <t>HTLV I/II</t>
  </si>
  <si>
    <t>HOSPITAL SANTA TERESINHA LTDA CAXANGA</t>
  </si>
  <si>
    <t>DIPIRONA 500MG COMP</t>
  </si>
  <si>
    <t>DIARIA ACOMPANHANTE ACIMA 60 ANOS</t>
  </si>
  <si>
    <t>DIARIA DE ENFERMARIA</t>
  </si>
  <si>
    <t>CONSULTA COM NEUROCIRURGIAO</t>
  </si>
  <si>
    <t>QUADRIPLEGIA E QUADRIPARESIA</t>
  </si>
  <si>
    <t>ASSISTENCIA FISIATRICA RESPIRATORIA EM DOENTE CLINICO INTERNADO</t>
  </si>
  <si>
    <t>AGULHA DESC 25X7</t>
  </si>
  <si>
    <t>ALCOOL  70 100ML FAT</t>
  </si>
  <si>
    <t>TIRA P/ HGT</t>
  </si>
  <si>
    <t>EQUIPO MACRO C/INJ LATERAL</t>
  </si>
  <si>
    <t>ALGODAO  BOLA</t>
  </si>
  <si>
    <t>SERINGA 03CC  SEM AGULHA</t>
  </si>
  <si>
    <t>SERINGA 10CC SEM AGULHA</t>
  </si>
  <si>
    <t>SERINGA 20CC  SEM AGULHA</t>
  </si>
  <si>
    <t>TORNEIRA  03  VIAS B BRAUN</t>
  </si>
  <si>
    <t>EQUIPO MACROGOTAS SIMPLES - UND</t>
  </si>
  <si>
    <t>LANCETAS P/ HGT SOFTCLIX PRO</t>
  </si>
  <si>
    <t>CATETER JELCO PLUS 20</t>
  </si>
  <si>
    <t>EQUIPO POLIFIX 2 VIAS C/PRESILHA LS</t>
  </si>
  <si>
    <t>CETOPROFENO IV 100MG FA</t>
  </si>
  <si>
    <t>AGUA BIDESTILADA 10ML - AMP</t>
  </si>
  <si>
    <t>CLORETO SODIO 09  AMP 10ML</t>
  </si>
  <si>
    <t>LEVOFLOXACINO 500MG BOLSA  100ML</t>
  </si>
  <si>
    <t>SORO FISIOLOGICO 09  100ML</t>
  </si>
  <si>
    <t>TRAMADOL CLORIDRATO DE 100MG/2ML AMP</t>
  </si>
  <si>
    <t>DIPIRONA 500MG/ML AMP 2ML</t>
  </si>
  <si>
    <t>ANLODIPINO 5 MG  COMP</t>
  </si>
  <si>
    <t>FEXOFENADINA CLORIDRATO 180MG COMP REV</t>
  </si>
  <si>
    <t>TRAMADOL CLORIDRATO DE 50MG/ML AMP  1ML  G</t>
  </si>
  <si>
    <t>PREDNISONA 20MG  COMP</t>
  </si>
  <si>
    <t>ACETILCISTEINA  600MG ENV G</t>
  </si>
  <si>
    <t>PARACETAMOL 500MG COMP</t>
  </si>
  <si>
    <t>OMEPRAZOL 20MG CAPS</t>
  </si>
  <si>
    <t>CICLOBENZAPRINA 10MG  MIOSAN COMP</t>
  </si>
  <si>
    <t>VALSARTANA 80 MG COMP</t>
  </si>
  <si>
    <t>VALSARTANA 160 MG COMP</t>
  </si>
  <si>
    <t>ENDOTERAPEUTICA CENTRO DE VIDEO ENDOSCOPIA</t>
  </si>
  <si>
    <t>COLONOSCOPIA SEM BIOPSIA TODO MATERIAL INCLUSO</t>
  </si>
  <si>
    <t>COLONOSCOPIA COM BIOPSIA TODO MATERIAL INCLUSO</t>
  </si>
  <si>
    <t>ENDOSCOPIA DIGESTIVA ALTA (ESOFAGO GASTRO-DUODENOSCOPIA) COM OU SEM BIOPSIA (TODO MATERIAL INCLUSO)</t>
  </si>
  <si>
    <t>COLANGIOPANCREATOGRAFIA ENDOSCOPICA RETROGRADA</t>
  </si>
  <si>
    <t>HEMOSTASIA COM COAGULADOR DE PLASMA DE ARGONIO</t>
  </si>
  <si>
    <t>POLIPECTOMIA ENDOSCOPICA DO COLON OU RETO</t>
  </si>
  <si>
    <t>COOPANEST PE</t>
  </si>
  <si>
    <t>EXERESE E SUTURA DE LESOES (CIRCULARES OU NAO) COM ROTACAO DE RETALHOS CUTANEOS</t>
  </si>
  <si>
    <t>TU PARTES MOLES - EXERESE</t>
  </si>
  <si>
    <t>AUTOTRANSPLANTE CONJUNTIVAL</t>
  </si>
  <si>
    <t>PTERIGIO  EXERESE</t>
  </si>
  <si>
    <t>FACECTOMIA COM LENTE INTRA-OCULAR COM FACOEMULSIFICACAO</t>
  </si>
  <si>
    <t>ENDOLASER/ENDODIATERMIA</t>
  </si>
  <si>
    <t>MEMBRANECTOMIA EPI OU SUB-RETINIANA</t>
  </si>
  <si>
    <t>TROCA FLUIDO GASOSA</t>
  </si>
  <si>
    <t>VITRECTOMIA VIAS PARS PLANA</t>
  </si>
  <si>
    <t>ENXERTO DE ESCLERA (QUALQUER TECNICA)</t>
  </si>
  <si>
    <t>CIRURGIA FISTULIZANTE COM IMPLANTE DE DRENAGEM</t>
  </si>
  <si>
    <t>FOTOCOAGULACAO (LASER) - POR SESSAO  - MONOCULAR</t>
  </si>
  <si>
    <t>RESSECCAO DOS DUCTOS PRINCIPAIS DA MAMA - UNILATERAL</t>
  </si>
  <si>
    <t>TENOLISE NO TUNEL OSTEOFIBROSO</t>
  </si>
  <si>
    <t>ANGIOPLASTIA TRANSLUMINAL TRANSOPERATORIA - POR ARTERIA</t>
  </si>
  <si>
    <t>CATETERISMO CARDIACO E E/OU D COM CINEANGIOCORONARIOGRAFIA E VENTRICULOGRAFIA</t>
  </si>
  <si>
    <t>ANGIOPLASTIA TRANSLUMINAL PERCUTANEA DE MULTIPLOS VASOS, COM IMPLANTE DE STENT</t>
  </si>
  <si>
    <t>ANGIOPLASTIA TRANSLUMINAL PERCUTANEA POR BALAO (1 VASO)</t>
  </si>
  <si>
    <t>IMPLANTE CIRURGICO DE CATETER DE LONGA PERMANENCIA PARA NPP, QT OU PARA HEMODEPURACAO</t>
  </si>
  <si>
    <t>COLECISTECTOMIA SEM COLANGIOGRAFIA POR VIDEOLAPAROSCOPIA</t>
  </si>
  <si>
    <t>HERNIORRAFIA EPIGASTRICA</t>
  </si>
  <si>
    <t>HERNIORRAFIA RECIDIVANTE</t>
  </si>
  <si>
    <t>RECONSTRUCAO DA PAREDE ABDOMINAL COM RETALHO MUSCULAR OU MIOCUTANEO</t>
  </si>
  <si>
    <t>HIDROCELE UNILATERAL - CORRECAO CIRURGICA</t>
  </si>
  <si>
    <t>MICRONEUROLISE INTRANEURAL OU INTRAFASCICULAR DE UM NERVO</t>
  </si>
  <si>
    <t>ANESTESIA PARA ENDOSCOPIA DIAGNOSTICA</t>
  </si>
  <si>
    <t>ANESTESIA PARA ENDOSCOPIA INTERVENCIONISTA</t>
  </si>
  <si>
    <t>ANESTESIA PARA EXAMES RADIOLOGICOS DE ANGIORRADIOLOGIA</t>
  </si>
  <si>
    <t>ANESTESIA PARA EXAMES DE ULTRASSONOGRAFIA</t>
  </si>
  <si>
    <t>ANESTESIA PARA EXAMES DE TOMOGRAFIA COMPUTADORIZADA</t>
  </si>
  <si>
    <t>ANESTESIA PARA EXAMES DE RESSONANCIA MAGNETICA</t>
  </si>
  <si>
    <t>PUNCAO BIOPSIA/ASPIRATIVA DE ORGAO OU ESTRUTURA PROFUNDA ORIENTADA POR US (NAO INCLUI O EXAME DE BAS</t>
  </si>
  <si>
    <t>CLINICA RADIOLOGICA LUCILO MARANHAO LTDA</t>
  </si>
  <si>
    <t>DOPPLER COLORIDO DE 3 OU MAIS VASOS</t>
  </si>
  <si>
    <t>INSTITUTO DE DIAGNOSTICO JOSE ROCHA DE SA LTDA</t>
  </si>
  <si>
    <t>RM DE CRANIO</t>
  </si>
  <si>
    <t>RM DE COLUNA CERVICAL</t>
  </si>
  <si>
    <t>RM DE COLUNA TORACICA</t>
  </si>
  <si>
    <t>RM DE COLUNA LOMBO-SACRA</t>
  </si>
  <si>
    <t>RM DE ABDOMEN SUPERIOR</t>
  </si>
  <si>
    <t>RM DE BACIA OU PELVE</t>
  </si>
  <si>
    <t>RM DE OMBRO (UNILATERAL)</t>
  </si>
  <si>
    <t>RM DE COXO-FEMURAL (BILATERAL)</t>
  </si>
  <si>
    <t>RM DE JOELHO (UNILATERAL)</t>
  </si>
  <si>
    <t>RM DE TORNOZELO OU PE (UNILATERAL)</t>
  </si>
  <si>
    <t>RM DE SEGMENTO APENDICULAR (UNILATERAL)</t>
  </si>
  <si>
    <t>DOTAREM 15ML [PM]</t>
  </si>
  <si>
    <t>TELEBRIX 35/50 ML [PM]</t>
  </si>
  <si>
    <t>MAGNEVISTAN 10 ML (PM)</t>
  </si>
  <si>
    <t>ESTE  ESPACO TERAPIA</t>
  </si>
  <si>
    <t>FISIOTERAPIA MOTORA NEUROLOGICA</t>
  </si>
  <si>
    <t>FISIOTERAPIA MOTORA PARA PACIENTES ESPECIAIS</t>
  </si>
  <si>
    <t>FONOAUDIOLOGIA PARA PACIENTES ESPECIAIS</t>
  </si>
  <si>
    <t>APOIO PSICOPEDAGOGICO  POR SESSAO  MAXIMO 10 SESSOES POR MES</t>
  </si>
  <si>
    <t>PSICOTERAPIA PARA PACIENTES ESPECIAIS</t>
  </si>
  <si>
    <t>TERAPIA OCUPACIONAL PARA PACIENTES ESPECIAIS</t>
  </si>
  <si>
    <t>TERAPIA EDUCACIONAL PARA DIAGNOSTICADOS COM TEA</t>
  </si>
  <si>
    <t>DIARIA SEMI-INTERNATO</t>
  </si>
  <si>
    <t>REVIVER</t>
  </si>
  <si>
    <t>DIARIA DE INTERNAMENTO EM PSIQUIATRIA</t>
  </si>
  <si>
    <t>INSTITUTO DE OLHOS DR CLOVIS DE AZEVEDO PAIVA</t>
  </si>
  <si>
    <t>CONSULTA COM OFTALMOLOGISTA</t>
  </si>
  <si>
    <t>TAXA DE CAMPIMETRIA COMPUTADORIZADA</t>
  </si>
  <si>
    <t>TAXA DE RETINOGRAFIA</t>
  </si>
  <si>
    <t>TAXA DE ULTRA SONOGRAFIA DIAGNOSTICA</t>
  </si>
  <si>
    <t>EXAME DE MOTILIDADE OCULAR (TESTE ORTOPTICO) BINOCULAR</t>
  </si>
  <si>
    <t>MAPEAMENTO DE RETINA - MONOCULAR</t>
  </si>
  <si>
    <t>RETINOGRAFIA (SO HONORARIOS) - MONOCULAR</t>
  </si>
  <si>
    <t>RETINOGRAFIA FLUORESCENTE - BINOCULAR</t>
  </si>
  <si>
    <t>TONOMETRIA - BINOCULAR</t>
  </si>
  <si>
    <t>BIOMETRIA ULTRA-SONICA - MONOCULAR</t>
  </si>
  <si>
    <t>PAQUIMETRIA ULTRA-SONICA - MONOCULAR</t>
  </si>
  <si>
    <t>MICROSCOPIA ESPECULAR DE CORNEA - MONOCULAR</t>
  </si>
  <si>
    <t>ULTRA-SONOGRAFIA DIAGNOSTICA - MONOCULAR</t>
  </si>
  <si>
    <t>GONIOSCOPIA - BINOCULAR</t>
  </si>
  <si>
    <t>ACUIDADE VISUAL COM LASER (P.A.M.) - MONOCULAR</t>
  </si>
  <si>
    <t>CAMPIMETRIA COMPUTADORIZADA</t>
  </si>
  <si>
    <t>AVALIACAO DAS VIAS LACRIMAIS</t>
  </si>
  <si>
    <t>ANALISE DE FIBRAS DO NERVO OPTICO</t>
  </si>
  <si>
    <t>TOPOGRAFIA DE CORNEA</t>
  </si>
  <si>
    <t>TOPOGRAFIA DE PUPILA AMBOS OS OLHOS</t>
  </si>
  <si>
    <t>CIRURGIA DE PTERIGIO (TODO MATERIAL INCLUSO)</t>
  </si>
  <si>
    <t>RETINOGRAFIA  BINOCULAR</t>
  </si>
  <si>
    <t>TOMOGRAFIA DE COERENCIA OPTICA  OCT  BINOCULAR</t>
  </si>
  <si>
    <t>CAPSULOTOMIA YAG OU CIRURGICA - MONOCULAR</t>
  </si>
  <si>
    <t>FOTOCOAGULACAO A LASER POR SESSAO  MONOCULAR</t>
  </si>
  <si>
    <t>TRANSPLANTE CONJUNTIVAL</t>
  </si>
  <si>
    <t>FACECTOMIA COM LENTE INTRA-OCULAR COM OU SEM FACOEMULSIFICACAO (LIO INCLUSA)</t>
  </si>
  <si>
    <t>ANGIOFLUORESCEINOGRAFIA  BINOCULAR</t>
  </si>
  <si>
    <t>INJECAO INTRAVITREO DE LUCENTIS</t>
  </si>
  <si>
    <t>UNINEURO</t>
  </si>
  <si>
    <t>TOMOGRAFIA COMPUTADORIZADA DE PESCOCO (PARTES MOLES, LARINGE, TIREOIDE OU PARATIREOIDE, FARINGE)</t>
  </si>
  <si>
    <t>RM DE ARTICULACAO TEMPORO-MANDIBULAR (BILATERAL)</t>
  </si>
  <si>
    <t>ANGIOGRAFIA POR RM POR SEGMENTO *</t>
  </si>
  <si>
    <t>PERFUSAO</t>
  </si>
  <si>
    <t>OXIGENIO POR MINUTO</t>
  </si>
  <si>
    <t>TAXA DE MONITORIZACAO CARDIACA/ECG POR USO</t>
  </si>
  <si>
    <t>TAXA DE MONITORIZACAO DE OXIMETRO POR USO</t>
  </si>
  <si>
    <t>CATETER NASAL TIPO OCULOS 12FR 2,10MT N/ESTERIL 50UNID</t>
  </si>
  <si>
    <t>AGULHA HIPODERMICA 25X7MM</t>
  </si>
  <si>
    <t>AGULHA HIPODERMICA 40X12MM</t>
  </si>
  <si>
    <t>SERINGA 05ML LUER SLIP PLASTIPAK S/AG.</t>
  </si>
  <si>
    <t>SERINGA S/AG. 10ML LUER-LOK PLASTIPAK</t>
  </si>
  <si>
    <t>SERINGA S/AG.20ML LUER-LOK PLASTIPAK</t>
  </si>
  <si>
    <t>EXTENSOFIX 20CM (P/SOL.CONTINUA)</t>
  </si>
  <si>
    <t>ESPARADRAPO BRANCO 10cmX4,5mt</t>
  </si>
  <si>
    <t>BANDAGEM ANTI-SEPTICA ESTERIL BLOOD STOP</t>
  </si>
  <si>
    <t>LUVA LATEX P/PROCEDIMENTO N/CIRURGICO P-M-G 100UNI</t>
  </si>
  <si>
    <t>CATETER INTRAVASCULAR PERIFERICO JELCO 22GX25MM AZUL MEDEX</t>
  </si>
  <si>
    <t>HIDROCORTISONA  (Restrito Hosp.) HIDROSONE (Restrito Hosp.)</t>
  </si>
  <si>
    <t>PROHANCE (Restrito Hosp.) 279,3 mg/ml x 50 ml</t>
  </si>
  <si>
    <t>SEVOFLURANO (Restrito Hosp.) Inal. ct. fr. plast. opc. x 250</t>
  </si>
  <si>
    <t>PROPOVAN (Restrito Hosp.) 10 mg/ml 5 amps. 10 ml</t>
  </si>
  <si>
    <t>TELEBRIX 35 (Restrito Hosp.) Fr. amp. 50 ml</t>
  </si>
  <si>
    <t>AGUA PARA INJECAO 500 ml sol.20bols.pe sist.fech.</t>
  </si>
  <si>
    <t>SORO FISIOLOGICO 0,9% 10 ML</t>
  </si>
  <si>
    <t>SOL. CLORETO DE SODIO 0,9% EP (Restrito Hosp.) 50 ml cx. c/5</t>
  </si>
  <si>
    <t>ALCOOL ETILICO 70%</t>
  </si>
  <si>
    <t>MIDAZOLAM - GENERICO (Restrito Hosp.) 15 mg. sol. inj. 5 amp</t>
  </si>
  <si>
    <t>MAGNEVISTAN 469 mg/ml sol.inj. 10 fa x 10 ml</t>
  </si>
  <si>
    <t>IOPAMIRON 300 - 612 mg/ml inj. 1 fa x 500 ml</t>
  </si>
  <si>
    <t>FENTANEST 0,05 MG/ML 10ML FR/AMP</t>
  </si>
  <si>
    <t>AGUA PARA INJECAO sol.inj.iv 200 amp 10 ml</t>
  </si>
  <si>
    <t>DORMONID 5mg/ml sol.inj. 5 amp. 3 ml</t>
  </si>
  <si>
    <t>META  HOSPITAL CIDADE PATRIMONIO</t>
  </si>
  <si>
    <t>FIO GUIA HIDROFILICO 0.0.35X260MM</t>
  </si>
  <si>
    <t>FIO GUIA 0.018 X 300CM - STRAIGHT GUIROAD</t>
  </si>
  <si>
    <t>CATETER  PIGTAIL 5F 110CM  REF.1151012  APT MEDICAL</t>
  </si>
  <si>
    <t>PARAFUSOS CANULADOS 65 85MMX20 ROS</t>
  </si>
  <si>
    <t>PLACA BLOQUEADA TIBIA LATERAL ESQUERDA 8 FUROS</t>
  </si>
  <si>
    <t>CATETER ANGIOGRAFICO VERTEBRAL 5FR</t>
  </si>
  <si>
    <t>PARAFUSO BLOQUEADO N 34</t>
  </si>
  <si>
    <t>PARAFUSO BLOQUEADO N 60</t>
  </si>
  <si>
    <t>INTRODUTOR 5F</t>
  </si>
  <si>
    <t>CATETER GUIA 6FR AR1 100CM</t>
  </si>
  <si>
    <t>FIO OSSEO CALIB PONTA ROSQ. DE 25MM</t>
  </si>
  <si>
    <t>CATETER BALAO</t>
  </si>
  <si>
    <t>CATETER LONGA PERMANENCIA 14.5F X 28CM</t>
  </si>
  <si>
    <t>CATETER BALAO SIMPASS PLUS 20MMX20MM REF.PS 20020 RX PTCA</t>
  </si>
  <si>
    <t>PARAFUSO CANULADO 65 75MMX20 ROS</t>
  </si>
  <si>
    <t>KIT INSUFLADOR DEVICE 30ATM VGA125C</t>
  </si>
  <si>
    <t>STENT FARMACOLOGICO GUREATER 3.0X36MM</t>
  </si>
  <si>
    <t>CATETER DIAGNOSTICO 5F JR 35 -  APT MEDICAL</t>
  </si>
  <si>
    <t>CATETER GUIA QUICK CROSS 0.35X150CM</t>
  </si>
  <si>
    <t>BAINHA INTRODUTORA 6FR 45CM APT</t>
  </si>
  <si>
    <t>DIARIA DE UTI CARDIOLOGIA</t>
  </si>
  <si>
    <t>OXIGENIO P/ HORA</t>
  </si>
  <si>
    <t>OXIGENIO A PARTIR DO 8 DIA CONTINUO</t>
  </si>
  <si>
    <t>OXIGENIO  AR COMPRIMIDO HORA</t>
  </si>
  <si>
    <t>OXIGENIO CATETER P/MIN</t>
  </si>
  <si>
    <t>PLANTAO DE 12 HORAS POR PACIENTE EM REDE CREDENCIADA</t>
  </si>
  <si>
    <t>TX SALA CIRURGICA ATE 3 HS</t>
  </si>
  <si>
    <t>TX SALA ESTUDO HEMODINAMICO</t>
  </si>
  <si>
    <t>DESFIBRILADOR POR USO</t>
  </si>
  <si>
    <t>TX NEBULIZACAO AEROSOL INT</t>
  </si>
  <si>
    <t>ANTIGENO AUSTRALIA (HBSAG) RIE OU EIE POR UNIDADE DE SANGUE TOTAL</t>
  </si>
  <si>
    <t>TRANSAMINASE PIRUVICA - TGP OU ALT POR UNIDADE DE SANGUE TOTAL</t>
  </si>
  <si>
    <t>LITIO</t>
  </si>
  <si>
    <t>HEMATOCRITO, DETERMINACAO DO</t>
  </si>
  <si>
    <t>HEMOGLOBINA, DOSAGEM</t>
  </si>
  <si>
    <t>CATETERISMO CARDIACO E EOU D COM CINEANGIOCORONARIOGRAFIA E VENTRICULOGRAFIA</t>
  </si>
  <si>
    <t>ABDOMEN SIMPLES - A.P.</t>
  </si>
  <si>
    <t>ANGIOGRAFIA SELETIVA CAROTIDA EXTERNA E DE SEUS RAMOS</t>
  </si>
  <si>
    <t>RADIOSCOPIA PARA ACOMPANHAMENTO DE PROCEDIMENTO CIRURGICO</t>
  </si>
  <si>
    <t>FLEBOGRAFIA DE MEMBRO - UNILATERAL</t>
  </si>
  <si>
    <t>ANGIOGRAFIA POR CATETERISMO NAO SELETIVO DE GRANDE VASO</t>
  </si>
  <si>
    <t>CATETERISMO DE VEIA CENTRAL POR PUNCAO</t>
  </si>
  <si>
    <t>INSTALACAO DE CATETER DE LONGA PERMANENCIA - QUALQUER TIPO</t>
  </si>
  <si>
    <t>RETIRADA DE CATETER DE LONGA PERMANENCIA - QUALQUER TIPO</t>
  </si>
  <si>
    <t>ANGIOPLASTIA OU DILATACAO TRANSOPERATORIA</t>
  </si>
  <si>
    <t>ANGIOPLASTIA TRANSLUMINAL DE MULTIPLOS VASOS + IMPLANTE DE STENTS</t>
  </si>
  <si>
    <t>ENXERTO OSSEO</t>
  </si>
  <si>
    <t>TENOPLASTIA DE TENDAO EM OUTRAS REGIOES</t>
  </si>
  <si>
    <t>ARTROTOMIA COXO-FEMORAL</t>
  </si>
  <si>
    <t>ARTROPLASTIA DE RESSECCAO DO QUADRIL  - TRATAMENTO CIRURGICO</t>
  </si>
  <si>
    <t>FRATURAS DO FEMUR - TRATAMENTO CIRURGICO</t>
  </si>
  <si>
    <t>FRATURA DA TIBIA ASSOCIADA OU NAO A DA FIBULA - TRATAMENTO CIRURGICO</t>
  </si>
  <si>
    <t>INTENSIFICADOR DE IMAGEM</t>
  </si>
  <si>
    <t>ARTERIOGRAFIA CORONARIANA</t>
  </si>
  <si>
    <t>CATETERISMO  CARDIACO</t>
  </si>
  <si>
    <t>ANGIOPLASTIA MULTIPLOS VASOS</t>
  </si>
  <si>
    <t>ESCOVA MARCODINE C/POVIDINE</t>
  </si>
  <si>
    <t>EXERCITADOR RESP. TRIFLO - RESPIRON</t>
  </si>
  <si>
    <t>COMPRESSA CIRURGICA EST. 25 X 28</t>
  </si>
  <si>
    <t>SONDA ALIMENTAC ENTERAL 12FR NUTRE SOLUMED</t>
  </si>
  <si>
    <t>CLOREXIDINA ALCOOLICA 0.5 - P/ML</t>
  </si>
  <si>
    <t>CLOREXIDINA DEGERMANTE 2 - P/ML</t>
  </si>
  <si>
    <t>FRALDA GERIATRICA C/GEL TAM GG</t>
  </si>
  <si>
    <t>FITA PESQ GLICOSE ON CALL PLUSE.I</t>
  </si>
  <si>
    <t>ATADURA DE CREPE 10CM X 18MT</t>
  </si>
  <si>
    <t>ALCOOL ETILICO 70 P/ML 1000ML</t>
  </si>
  <si>
    <t>CATETER PERIFERICO ANGIOCATH 18G</t>
  </si>
  <si>
    <t>EQUIPO P/INFUSAO MULTIPLA POLIFIX C/2 VIAS</t>
  </si>
  <si>
    <t>SERINGA DESC 05ML C/AGULHA 25X7</t>
  </si>
  <si>
    <t>SERINGA DESC 10ML S/AGULHA</t>
  </si>
  <si>
    <t>SONDA FOLEY 18FR - 2 VIAS</t>
  </si>
  <si>
    <t>SONDA FOLEY 18FR - 3 VIAS</t>
  </si>
  <si>
    <t>EXTENSOR P/ SOL. CONTINUA 120CM</t>
  </si>
  <si>
    <t>ESPARADRAPO MICROPORE 25MMX10MT- CM</t>
  </si>
  <si>
    <t>AGULHA P/RAQUI G 25 X 3 - 1/2 88MM</t>
  </si>
  <si>
    <t>EQUIPO MACROGOTAS SIMPLES</t>
  </si>
  <si>
    <t>ATADURA DE CREPE 15CM X 18MT</t>
  </si>
  <si>
    <t>ELETRODO P/MONITORIZ ARRUELA</t>
  </si>
  <si>
    <t>VICRYL 0</t>
  </si>
  <si>
    <t>MONONYLON 3-0 C/AG 3.0CM - 1171T</t>
  </si>
  <si>
    <t>VICRYL 2-0  AG 2.6CM REF J333H</t>
  </si>
  <si>
    <t>ALGODAO HIDROFILO 100GR</t>
  </si>
  <si>
    <t>TRANSOFIX 1PTA PERFURANTE</t>
  </si>
  <si>
    <t>SONDA URETRAL N. 16</t>
  </si>
  <si>
    <t>LUVA CIRURGICA ESTERIL N.70</t>
  </si>
  <si>
    <t>LUVA CIRURGICA ESTERIL N.85</t>
  </si>
  <si>
    <t>SONDA ENDOTRAQUEAL N. 85MM C/CUFF</t>
  </si>
  <si>
    <t>CATETER P/OXIGENIO TIPO OCULOS</t>
  </si>
  <si>
    <t>SONDA ASPIRACAO TRAQUEAL N.12</t>
  </si>
  <si>
    <t>AGULHA DESC 40X12</t>
  </si>
  <si>
    <t>CATETER PERIFERICO ANGIOCATH 20G</t>
  </si>
  <si>
    <t>LUVA ESTERIL TAM M</t>
  </si>
  <si>
    <t>EQUIPO P/BOMB FT SENSIVEL  EE900300  SAMTRONIC</t>
  </si>
  <si>
    <t>COLCHAO CAIXA DE OVO D23 1.85X0.85</t>
  </si>
  <si>
    <t>SONDA FOLEY 16FR - 2 VIAS</t>
  </si>
  <si>
    <t>FAIXA DE SMACH 15CM X 20M</t>
  </si>
  <si>
    <t>SERINGA DESC 10ML C/AGULHA 25X7</t>
  </si>
  <si>
    <t>LAMINA PARA BISTURI N 11</t>
  </si>
  <si>
    <t>FRASCO DIETA 500ML</t>
  </si>
  <si>
    <t>EQUIPO ENTERAL MODELO EG 0623 CT00  SAMTRONIC</t>
  </si>
  <si>
    <t>FILTRO BACTERIANO PERMUT.CALOR/UMID</t>
  </si>
  <si>
    <t>CURATIVO RAYON C/AGE 75X75 PIELSANA</t>
  </si>
  <si>
    <t>COLETOR URINA SIST. FECHADO 2000ML</t>
  </si>
  <si>
    <t>ACIDOS GRAXOSVITA.AELECITINA 100ML</t>
  </si>
  <si>
    <t>CATETER PERIFERICO ANGIOCATH 22G</t>
  </si>
  <si>
    <t>CATETER PERIFERICO ANGIOCATH 24G</t>
  </si>
  <si>
    <t>IV FIX - FIXADOR ESTERIL 3M</t>
  </si>
  <si>
    <t>LANCETA GLIC ON CALL C/TRAVA SEG</t>
  </si>
  <si>
    <t>LUVA CIRURGICA ESTERIL N.75</t>
  </si>
  <si>
    <t>SERINGA DESC 01ML C/AGULHA 13X45</t>
  </si>
  <si>
    <t>SERINGA DESC 03ML C/AGULHA 25X7</t>
  </si>
  <si>
    <t>COMPRESSA GAZE 75X75CM 11F</t>
  </si>
  <si>
    <t>EQUIPO P/BOMBA PARENTE SAMTRONIC</t>
  </si>
  <si>
    <t>FRESUBIN HP ENERGY 1000ML</t>
  </si>
  <si>
    <t>SOAPEX 1 SAB.LIQ.P/ML</t>
  </si>
  <si>
    <t>PRODERME EMULSAO - P/ML</t>
  </si>
  <si>
    <t>SABONETE ANTISSEPTICO NEUTRO</t>
  </si>
  <si>
    <t>PULMICORT 0.50MG/ML  2ML</t>
  </si>
  <si>
    <t>AGUA DESTILADA - TB 500ML  AV</t>
  </si>
  <si>
    <t>VASOPRESSINA  20UI/ML - AMP 1ML   AV</t>
  </si>
  <si>
    <t>ATENSINA 200MCG - COMP</t>
  </si>
  <si>
    <t>CETOPROFENO 100MG IV FA PO LIOFIL G</t>
  </si>
  <si>
    <t>SULFATO DE MORFINA 02MG/ML</t>
  </si>
  <si>
    <t>SULFATO DE MORFINA 10MG/1ML</t>
  </si>
  <si>
    <t>ETOMIDATO  2MG/ML - AMP 10ML   AV</t>
  </si>
  <si>
    <t>HALOPERIDOL 5 MG 1ML AMP AV</t>
  </si>
  <si>
    <t>HEPARINA 5000UI/ML 5ML  AV</t>
  </si>
  <si>
    <t>CLORID DE PROMETAZINA 25MG/ML2ML AMP</t>
  </si>
  <si>
    <t>TENOXICAM 40MG - FA 2ML</t>
  </si>
  <si>
    <t>NITROGLICERINA 50MG - 10ML</t>
  </si>
  <si>
    <t>LACTULOSE 667MG/ML XPE - POR ML</t>
  </si>
  <si>
    <t>INSULINA HUMANA NPH - P/UI</t>
  </si>
  <si>
    <t>INSULINA REGULAR - P/UI  AV</t>
  </si>
  <si>
    <t>FUMARATO DE QUETIAPINA 100MG COMP</t>
  </si>
  <si>
    <t>BROMETO ROCURONIO IV 50MG - FA 5ML  AV</t>
  </si>
  <si>
    <t>ESPIRONOLACTONA 50MG - COMP</t>
  </si>
  <si>
    <t>LOSARTANA POTASSICA 50MG COMP</t>
  </si>
  <si>
    <t>MEROPENEM 1G IV - PO INJ. FA</t>
  </si>
  <si>
    <t>OMEPRAZOL 40MG FA</t>
  </si>
  <si>
    <t>AGUA BIDESTILADA - AMP 10ML</t>
  </si>
  <si>
    <t>BICARBONATO DE SODIO 84- FR 250ML</t>
  </si>
  <si>
    <t>GLUCONATO DE CALCIO 10 - AMP 10ML</t>
  </si>
  <si>
    <t>SOL. RINGER LACTATO SORO - 500ML</t>
  </si>
  <si>
    <t>SERETIDE 50/125MCG - SPRAY 120 DS</t>
  </si>
  <si>
    <t>CLORID ONDANSETRONA 8MG 4ML AMP</t>
  </si>
  <si>
    <t>ADENOSINA 3MG/ML 2ML AMP</t>
  </si>
  <si>
    <t>EPINEFRINA 1MG/ML 1ML AMP</t>
  </si>
  <si>
    <t>FENTANILA 005MG/ML - AMP 2ML  AV</t>
  </si>
  <si>
    <t>LIDOCAINA 2 S/VASO - AMP 5 ML  AV</t>
  </si>
  <si>
    <t>FUROSEMIDA 10MG/ML - AMP 2ML</t>
  </si>
  <si>
    <t>HEMIT NOREPINEFRINA 2MG/ML- AMP 4ML AV</t>
  </si>
  <si>
    <t>MIDAZOLAM 15 MG/ML - AMP 3ML   AV</t>
  </si>
  <si>
    <t>SULFATO TERBUTALINA 05MG - AMP 1ML AV</t>
  </si>
  <si>
    <t>BUPIVACAINA 05 GLICOSE 8PESADA    AV</t>
  </si>
  <si>
    <t>DEXAMETASONA 4MG/ML 25ML AMP</t>
  </si>
  <si>
    <t>LIDOCAINA 2 S/VASO - FA 20ML AV</t>
  </si>
  <si>
    <t>SOL. CLORETO DE SODIO SF 0.9 - 1000ML</t>
  </si>
  <si>
    <t>SOL.CLORETO DE SODIO 09SF FR500ML</t>
  </si>
  <si>
    <t>SOL.CLORETO DE SODIO 09 FR 250ML</t>
  </si>
  <si>
    <t>SOL.CLORETO DE SODIO  SF 09 - FR100ML</t>
  </si>
  <si>
    <t>SOL. GLICOSE 5 250ML</t>
  </si>
  <si>
    <t>SOL. GLICOSE 5 - FR 500ML</t>
  </si>
  <si>
    <t>SALBUTAMOL SPRAY 100MCG/DOSE</t>
  </si>
  <si>
    <t>DIPIRONA SODICA 500MG/ML - AMP 2ML</t>
  </si>
  <si>
    <t>HIDRALAZINA 50MG - DRAG</t>
  </si>
  <si>
    <t>FOSFATO DE SODIO DIBASICO  FOSFATO DE MONOBASICO 006G016 G COM 130 ML</t>
  </si>
  <si>
    <t>SINVASTATINA 40MG COMP</t>
  </si>
  <si>
    <t>BROMOPRIDA 10MG - AMP 2ML</t>
  </si>
  <si>
    <t>CLORID DE TRAMADOL 100MG AMP 2ML AV</t>
  </si>
  <si>
    <t>SUCCIN SOD HIDROCORTISONA 500MG FA</t>
  </si>
  <si>
    <t>ETILEFRINA 10MG/ML1ML AMP</t>
  </si>
  <si>
    <t>FLUMAZENIL 0.1MG/ML - AMP 5ML</t>
  </si>
  <si>
    <t>CLORETO DE SUXAMETONIO 100MG F.A.</t>
  </si>
  <si>
    <t>DERMODEX CREME - TB 60G -  POR GR</t>
  </si>
  <si>
    <t>FUMARATO DE BISOPROLOL 5MG COMP</t>
  </si>
  <si>
    <t>CLORETO DE POTASSIO 191 AMP 10ML AV</t>
  </si>
  <si>
    <t>SEKI 120ML</t>
  </si>
  <si>
    <t>HIDRALAZINA 25MG DRAG</t>
  </si>
  <si>
    <t>DOBUTAMINA 250MG - AMP 20ML    AV</t>
  </si>
  <si>
    <t>PIPERACILINA  TAZOBACTAM 45G FA</t>
  </si>
  <si>
    <t>SULF. DE ATROPINA  0.25MG/ML1ML AMP</t>
  </si>
  <si>
    <t>SOL.CLORETO DE SODIO 20 - 10ML AMP   AV</t>
  </si>
  <si>
    <t>AMIODARONA 50MG/ML AMP 3ML  IV</t>
  </si>
  <si>
    <t>SUCCIN DE METOPROLOL 50 MG COMP</t>
  </si>
  <si>
    <t>DOPAMINA 5MG/ML 10ML AMP    AV</t>
  </si>
  <si>
    <t>MIDAZOLAM 5OMG/10ML - AMP 10ML AV</t>
  </si>
  <si>
    <t>CLONAZEPAM 05MG COMP</t>
  </si>
  <si>
    <t>CETILPIRIDINIO CEPACOL</t>
  </si>
  <si>
    <t>CETAMINA 50MG/ML 2 ML</t>
  </si>
  <si>
    <t>CLORID ONDANSETRONA 2MG/ML 2ML- AMP</t>
  </si>
  <si>
    <t>VANCOMICINA FA 1G</t>
  </si>
  <si>
    <t>TEICOPLANINA 400MG - FA</t>
  </si>
  <si>
    <t>BISSULFATO DE CLOPIDOGREL 75MG AV</t>
  </si>
  <si>
    <t>BESILATO DE ANLODIPINO 10MG COMP</t>
  </si>
  <si>
    <t>FUROSEMIDA 20MG 2ML</t>
  </si>
  <si>
    <t>AZITROMICINA IV 500MG - AMP</t>
  </si>
  <si>
    <t>SOL. GLICOSE 50 - AMP 10ML   AV</t>
  </si>
  <si>
    <t>HIDROGEL COM ALGINATO 85G</t>
  </si>
  <si>
    <t>DAPAGLIFLOZINA 10MG</t>
  </si>
  <si>
    <t>BESILATO DE ANLODIPINO 5MG COMP</t>
  </si>
  <si>
    <t>METOPROLOL  BETACRIS 1MG/ML INJ. - AMP 5ML</t>
  </si>
  <si>
    <t>BISOPROLOL 25MG - COMP</t>
  </si>
  <si>
    <t>CARVEDILOL 3125MG COMP</t>
  </si>
  <si>
    <t>PROPOFOL 1 10MG/ML - AMP 20ML   AV</t>
  </si>
  <si>
    <t>FENTANILA 005MG/ML - AMP 10ML AV</t>
  </si>
  <si>
    <t>CEFTRIAXONA 1G IV/IM - FA</t>
  </si>
  <si>
    <t>TRIMETAZIDINA 35MG VASTAREL MR 35MG - COMP</t>
  </si>
  <si>
    <t>RISPERIDONA 2MG COMP</t>
  </si>
  <si>
    <t>SOL.CLORETO DE SODIO 10 - AMP 10ML  AV</t>
  </si>
  <si>
    <t>SOL.CLORETO DE SODIO 09 AMP 10ML</t>
  </si>
  <si>
    <t>SULFATO DE MAGNESIO 50 - AMP 10ML</t>
  </si>
  <si>
    <t>CIPROFLOXACINO 400MG - BOLSA 200ML</t>
  </si>
  <si>
    <t>NISTATINAOX.ZINCO 200MG/G -TB 60G</t>
  </si>
  <si>
    <t>ISOSSORBIDA 20MG - COMP</t>
  </si>
  <si>
    <t>ESCINA  SALICILATO DE DIETILAMONIO 10 MG/G  50 MG/G GEL- TB 30G</t>
  </si>
  <si>
    <t>ENOXOPARINA 40 MG/04ML</t>
  </si>
  <si>
    <t>ACETILCISTEINA 600MG - ENV 5G</t>
  </si>
  <si>
    <t>NITROPRUSSIATO DE SODIO 50MG FA</t>
  </si>
  <si>
    <t>ENOXAPARINA 60MG/06ML AV</t>
  </si>
  <si>
    <t>CEFAZOLINA 1G - FA</t>
  </si>
  <si>
    <t>PANTOPRAZOL 40MG - FA</t>
  </si>
  <si>
    <t>CLORID CLONIDINA 150MCG 1ML AMP  AV</t>
  </si>
  <si>
    <t>DIMENI PIRIDGLICFRUT 30 MG  10ML DRAMIN B6 DL</t>
  </si>
  <si>
    <t>ACIDO ACETIL SALICILICO 100MG COMP</t>
  </si>
  <si>
    <t>OPTIRAY 350 - FA 100ML</t>
  </si>
  <si>
    <t>CLINOPE UNIDADE RECIFE</t>
  </si>
  <si>
    <t>CAMPIMETRIA</t>
  </si>
  <si>
    <t>CURVA TENSIONAL DIARIA - BINOCULAR</t>
  </si>
  <si>
    <t>DERBIMAGEM</t>
  </si>
  <si>
    <t>DENSITOMETRIA OSSEA DUO ENERGETICA (01 SEGMENTO)</t>
  </si>
  <si>
    <t>BIOPSIA PERCUTANEA ORIENTADA POR CT  US  RX</t>
  </si>
  <si>
    <t>PUNCAO PERCUTANEA DE ORGAOS, CAVIDADES OU ESPACO CORE BIOPSYA</t>
  </si>
  <si>
    <t>OBSTETRICA</t>
  </si>
  <si>
    <t>ESTUDO DE 3 (OU MAIS) VASOS COM DOPPLER PULSADO CONTINUO CONVENCIONAL</t>
  </si>
  <si>
    <t>PROSTATA : TRANSRETAL COM BIOPSIA</t>
  </si>
  <si>
    <t>FITA HIPORLERGENIA MICROPORE USO UNICO</t>
  </si>
  <si>
    <t>SERINGA 5ML C/AG. 25 X 7 DESC.</t>
  </si>
  <si>
    <t>LAMINA BISTURI N. 12 ESTERIL</t>
  </si>
  <si>
    <t>LUVA CIRURGICA ESTERIL 80</t>
  </si>
  <si>
    <t>TORNEIRA 3 VIAS</t>
  </si>
  <si>
    <t>GUIA DE BIOPSIA</t>
  </si>
  <si>
    <t>ELETRODO EGG ADULTO</t>
  </si>
  <si>
    <t>SSERINGA C/AG. 10ML 25X7</t>
  </si>
  <si>
    <t>COMPRESSA GAZE NIDIA 11 FIOS 75 X 75CM</t>
  </si>
  <si>
    <t>AGULHA BIOPSIA P/ USO PRO - MAG 2.2 14G</t>
  </si>
  <si>
    <t>AGULHA BIOPSIA P/ USO PRO - MAG 2.2 18G</t>
  </si>
  <si>
    <t>CATETER NASAL</t>
  </si>
  <si>
    <t>FENTANIL</t>
  </si>
  <si>
    <t>MIDAZOLAN</t>
  </si>
  <si>
    <t>ONDANSETRONA</t>
  </si>
  <si>
    <t>PROPOFOL</t>
  </si>
  <si>
    <t>CLORIDRATO DE LIDOCAINA</t>
  </si>
  <si>
    <t>DIPIRONA</t>
  </si>
  <si>
    <t>ETILEFRINA</t>
  </si>
  <si>
    <t>FLUMAZENIL</t>
  </si>
  <si>
    <t>CENTRO DE DIAGNOSTICO MULTIMAGEM</t>
  </si>
  <si>
    <t>RM DE TORAX</t>
  </si>
  <si>
    <t>Cateter Nasal Tipo oculos Oxigenio</t>
  </si>
  <si>
    <t>ESPARADRAPO BRANCO 10CMX4 5MT   POR CM</t>
  </si>
  <si>
    <t>AGULHAS HIPODERMICA DE USO UNICO INJEX</t>
  </si>
  <si>
    <t>TORNEIRINHA 3 VIAS DESCARTAVEL</t>
  </si>
  <si>
    <t>SERINGA 03ML S AG LUER LOCK</t>
  </si>
  <si>
    <t>LUVAS DE PROCEDIMENTO TAM M</t>
  </si>
  <si>
    <t>FAMILIA DE CANULAS INTRAVENOSAS COM DISPOSITIVO DE SEGURANCA - INTROCAN SAFETY  4251628</t>
  </si>
  <si>
    <t>FAMILIA DE CANULAS INTRAVENOSAS COM DISPOSITIVO DE SEGURANCA - INTROCAN SAFETY  4251644</t>
  </si>
  <si>
    <t>ALGODAO BOLA</t>
  </si>
  <si>
    <t>CLORETO DE SODIO 0 9    AMP 10ML</t>
  </si>
  <si>
    <t>HENETIX 300   FA 50ML</t>
  </si>
  <si>
    <t>HENETIX 300   FA 100ML</t>
  </si>
  <si>
    <t>MAGNEVISTAN   FR 15ML</t>
  </si>
  <si>
    <t>KETAMIN NP</t>
  </si>
  <si>
    <t>PROPOFOL 10MG ML   FA 20ML</t>
  </si>
  <si>
    <t>FENTANIL 50MCG ML   AMP 2ML</t>
  </si>
  <si>
    <t>DORMONID 1MG ML   AMP 5ML</t>
  </si>
  <si>
    <t>LIDOCAINA 20MG ML S VASO   POR ML</t>
  </si>
  <si>
    <t>HORTON JOSE COURA PINTO FILHO</t>
  </si>
  <si>
    <t>CONSULTASESSAO COM PSIQUIATRA</t>
  </si>
  <si>
    <t>UNIDADE DE OTORRINOLARINGOLOGIA D PERNAMBUCO</t>
  </si>
  <si>
    <t>IMPEDANCIOMETRIA - PESQUISA DO REFLEXO ESTAPEDIO - TIMPANOMETRIA</t>
  </si>
  <si>
    <t>PESQUISA DE PARES CRANIANOS RELACIONADOS COM VIII PAR</t>
  </si>
  <si>
    <t>TESTES VESTIBULARES - COM VECTO-ELETRONISTAGMOGRAFIA</t>
  </si>
  <si>
    <t>AUDIOMETRIA VOCAL COM MENSAGEM COMPETITIVA</t>
  </si>
  <si>
    <t>VIDEOENDOSCOPIA NASO-SINUSAL COM OTICA FLEXIVEL</t>
  </si>
  <si>
    <t>VIDEO-FARINGO-LARINGOSCOPIA COM ENDOSCOPIO FLEXIVEL</t>
  </si>
  <si>
    <t>AUDIOMETRIA TONAL LIMIAR COM TESTE DE DISCRIMINACAO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</si>
</sst>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4711-88C6-420F-A981-4F3562A180CC}">
  <dimension ref="A1:K1284"/>
  <sheetViews>
    <sheetView tabSelected="1" workbookViewId="0">
      <selection sqref="A1:K128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2026</v>
      </c>
      <c r="B2">
        <v>1</v>
      </c>
      <c r="C2" t="s">
        <v>11</v>
      </c>
      <c r="D2" t="s">
        <v>12</v>
      </c>
      <c r="E2" t="str">
        <f>TEXT(7179597406,"00000000000000")</f>
        <v>00007179597406</v>
      </c>
      <c r="F2" t="s">
        <v>13</v>
      </c>
      <c r="G2" t="s">
        <v>14</v>
      </c>
      <c r="H2">
        <v>26</v>
      </c>
      <c r="I2" t="s">
        <v>15</v>
      </c>
      <c r="J2">
        <v>40</v>
      </c>
      <c r="K2">
        <v>2400</v>
      </c>
    </row>
    <row r="3" spans="1:11" x14ac:dyDescent="0.3">
      <c r="A3">
        <v>2026</v>
      </c>
      <c r="B3">
        <v>1</v>
      </c>
      <c r="C3" t="s">
        <v>11</v>
      </c>
      <c r="D3" t="s">
        <v>12</v>
      </c>
      <c r="E3" t="str">
        <f>TEXT(7179597406,"00000000000000")</f>
        <v>00007179597406</v>
      </c>
      <c r="F3" t="s">
        <v>13</v>
      </c>
      <c r="G3" t="s">
        <v>14</v>
      </c>
      <c r="H3">
        <v>29</v>
      </c>
      <c r="I3" t="s">
        <v>16</v>
      </c>
      <c r="J3">
        <v>10</v>
      </c>
      <c r="K3">
        <v>600</v>
      </c>
    </row>
    <row r="4" spans="1:11" x14ac:dyDescent="0.3">
      <c r="A4">
        <v>2026</v>
      </c>
      <c r="B4">
        <v>1</v>
      </c>
      <c r="C4" t="s">
        <v>11</v>
      </c>
      <c r="D4" t="s">
        <v>17</v>
      </c>
      <c r="E4" t="str">
        <f>TEXT(11125954000147,"00000000000000")</f>
        <v>11125954000147</v>
      </c>
      <c r="F4" t="s">
        <v>18</v>
      </c>
      <c r="G4" t="s">
        <v>14</v>
      </c>
      <c r="H4">
        <v>28010175</v>
      </c>
      <c r="I4" t="s">
        <v>19</v>
      </c>
      <c r="J4">
        <v>8</v>
      </c>
      <c r="K4">
        <v>23.68</v>
      </c>
    </row>
    <row r="5" spans="1:11" x14ac:dyDescent="0.3">
      <c r="A5">
        <v>2026</v>
      </c>
      <c r="B5">
        <v>1</v>
      </c>
      <c r="C5" t="s">
        <v>11</v>
      </c>
      <c r="D5" t="s">
        <v>17</v>
      </c>
      <c r="E5" t="str">
        <f>TEXT(11125954000147,"00000000000000")</f>
        <v>11125954000147</v>
      </c>
      <c r="F5" t="s">
        <v>18</v>
      </c>
      <c r="G5" t="s">
        <v>14</v>
      </c>
      <c r="H5">
        <v>28010299</v>
      </c>
      <c r="I5" t="s">
        <v>20</v>
      </c>
      <c r="J5">
        <v>2</v>
      </c>
      <c r="K5">
        <v>8.56</v>
      </c>
    </row>
    <row r="6" spans="1:11" x14ac:dyDescent="0.3">
      <c r="A6">
        <v>2026</v>
      </c>
      <c r="B6">
        <v>1</v>
      </c>
      <c r="C6" t="s">
        <v>11</v>
      </c>
      <c r="D6" t="s">
        <v>17</v>
      </c>
      <c r="E6" t="str">
        <f>TEXT(11125954000147,"00000000000000")</f>
        <v>11125954000147</v>
      </c>
      <c r="F6" t="s">
        <v>18</v>
      </c>
      <c r="G6" t="s">
        <v>14</v>
      </c>
      <c r="H6">
        <v>28010329</v>
      </c>
      <c r="I6" t="s">
        <v>21</v>
      </c>
      <c r="J6">
        <v>4</v>
      </c>
      <c r="K6">
        <v>11.84</v>
      </c>
    </row>
    <row r="7" spans="1:11" x14ac:dyDescent="0.3">
      <c r="A7">
        <v>2026</v>
      </c>
      <c r="B7">
        <v>1</v>
      </c>
      <c r="C7" t="s">
        <v>11</v>
      </c>
      <c r="D7" t="s">
        <v>17</v>
      </c>
      <c r="E7" t="str">
        <f>TEXT(11125954000147,"00000000000000")</f>
        <v>11125954000147</v>
      </c>
      <c r="F7" t="s">
        <v>18</v>
      </c>
      <c r="G7" t="s">
        <v>14</v>
      </c>
      <c r="H7">
        <v>28010469</v>
      </c>
      <c r="I7" t="s">
        <v>22</v>
      </c>
      <c r="J7">
        <v>1</v>
      </c>
      <c r="K7">
        <v>3</v>
      </c>
    </row>
    <row r="8" spans="1:11" x14ac:dyDescent="0.3">
      <c r="A8">
        <v>2026</v>
      </c>
      <c r="B8">
        <v>1</v>
      </c>
      <c r="C8" t="s">
        <v>11</v>
      </c>
      <c r="D8" t="s">
        <v>17</v>
      </c>
      <c r="E8" t="str">
        <f>TEXT(11125954000147,"00000000000000")</f>
        <v>11125954000147</v>
      </c>
      <c r="F8" t="s">
        <v>18</v>
      </c>
      <c r="G8" t="s">
        <v>14</v>
      </c>
      <c r="H8">
        <v>28010540</v>
      </c>
      <c r="I8" t="s">
        <v>23</v>
      </c>
      <c r="J8">
        <v>9</v>
      </c>
      <c r="K8">
        <v>27</v>
      </c>
    </row>
    <row r="9" spans="1:11" x14ac:dyDescent="0.3">
      <c r="A9">
        <v>2026</v>
      </c>
      <c r="B9">
        <v>1</v>
      </c>
      <c r="C9" t="s">
        <v>11</v>
      </c>
      <c r="D9" t="s">
        <v>17</v>
      </c>
      <c r="E9" t="str">
        <f>TEXT(11125954000147,"00000000000000")</f>
        <v>11125954000147</v>
      </c>
      <c r="F9" t="s">
        <v>18</v>
      </c>
      <c r="G9" t="s">
        <v>14</v>
      </c>
      <c r="H9">
        <v>28010795</v>
      </c>
      <c r="I9" t="s">
        <v>24</v>
      </c>
      <c r="J9">
        <v>8</v>
      </c>
      <c r="K9">
        <v>218.44</v>
      </c>
    </row>
    <row r="10" spans="1:11" x14ac:dyDescent="0.3">
      <c r="A10">
        <v>2026</v>
      </c>
      <c r="B10">
        <v>1</v>
      </c>
      <c r="C10" t="s">
        <v>11</v>
      </c>
      <c r="D10" t="s">
        <v>17</v>
      </c>
      <c r="E10" t="str">
        <f>TEXT(11125954000147,"00000000000000")</f>
        <v>11125954000147</v>
      </c>
      <c r="F10" t="s">
        <v>18</v>
      </c>
      <c r="G10" t="s">
        <v>14</v>
      </c>
      <c r="H10">
        <v>28010809</v>
      </c>
      <c r="I10" t="s">
        <v>25</v>
      </c>
      <c r="J10">
        <v>5</v>
      </c>
      <c r="K10">
        <v>20</v>
      </c>
    </row>
    <row r="11" spans="1:11" x14ac:dyDescent="0.3">
      <c r="A11">
        <v>2026</v>
      </c>
      <c r="B11">
        <v>1</v>
      </c>
      <c r="C11" t="s">
        <v>11</v>
      </c>
      <c r="D11" t="s">
        <v>17</v>
      </c>
      <c r="E11" t="str">
        <f>TEXT(11125954000147,"00000000000000")</f>
        <v>11125954000147</v>
      </c>
      <c r="F11" t="s">
        <v>18</v>
      </c>
      <c r="G11" t="s">
        <v>14</v>
      </c>
      <c r="H11">
        <v>28010850</v>
      </c>
      <c r="I11" t="s">
        <v>26</v>
      </c>
      <c r="J11">
        <v>2</v>
      </c>
      <c r="K11">
        <v>7.68</v>
      </c>
    </row>
    <row r="12" spans="1:11" x14ac:dyDescent="0.3">
      <c r="A12">
        <v>2026</v>
      </c>
      <c r="B12">
        <v>1</v>
      </c>
      <c r="C12" t="s">
        <v>11</v>
      </c>
      <c r="D12" t="s">
        <v>17</v>
      </c>
      <c r="E12" t="str">
        <f>TEXT(11125954000147,"00000000000000")</f>
        <v>11125954000147</v>
      </c>
      <c r="F12" t="s">
        <v>18</v>
      </c>
      <c r="G12" t="s">
        <v>14</v>
      </c>
      <c r="H12">
        <v>28010892</v>
      </c>
      <c r="I12" t="s">
        <v>27</v>
      </c>
      <c r="J12">
        <v>1</v>
      </c>
      <c r="K12">
        <v>3</v>
      </c>
    </row>
    <row r="13" spans="1:11" x14ac:dyDescent="0.3">
      <c r="A13">
        <v>2026</v>
      </c>
      <c r="B13">
        <v>1</v>
      </c>
      <c r="C13" t="s">
        <v>11</v>
      </c>
      <c r="D13" t="s">
        <v>17</v>
      </c>
      <c r="E13" t="str">
        <f>TEXT(11125954000147,"00000000000000")</f>
        <v>11125954000147</v>
      </c>
      <c r="F13" t="s">
        <v>18</v>
      </c>
      <c r="G13" t="s">
        <v>14</v>
      </c>
      <c r="H13">
        <v>28010957</v>
      </c>
      <c r="I13" t="s">
        <v>28</v>
      </c>
      <c r="J13">
        <v>1</v>
      </c>
      <c r="K13">
        <v>4.24</v>
      </c>
    </row>
    <row r="14" spans="1:11" x14ac:dyDescent="0.3">
      <c r="A14">
        <v>2026</v>
      </c>
      <c r="B14">
        <v>1</v>
      </c>
      <c r="C14" t="s">
        <v>11</v>
      </c>
      <c r="D14" t="s">
        <v>17</v>
      </c>
      <c r="E14" t="str">
        <f>TEXT(11125954000147,"00000000000000")</f>
        <v>11125954000147</v>
      </c>
      <c r="F14" t="s">
        <v>18</v>
      </c>
      <c r="G14" t="s">
        <v>14</v>
      </c>
      <c r="H14">
        <v>28010973</v>
      </c>
      <c r="I14" t="s">
        <v>29</v>
      </c>
      <c r="J14">
        <v>11</v>
      </c>
      <c r="K14">
        <v>33</v>
      </c>
    </row>
    <row r="15" spans="1:11" x14ac:dyDescent="0.3">
      <c r="A15">
        <v>2026</v>
      </c>
      <c r="B15">
        <v>1</v>
      </c>
      <c r="C15" t="s">
        <v>11</v>
      </c>
      <c r="D15" t="s">
        <v>17</v>
      </c>
      <c r="E15" t="str">
        <f>TEXT(11125954000147,"00000000000000")</f>
        <v>11125954000147</v>
      </c>
      <c r="F15" t="s">
        <v>18</v>
      </c>
      <c r="G15" t="s">
        <v>14</v>
      </c>
      <c r="H15">
        <v>28011023</v>
      </c>
      <c r="I15" t="s">
        <v>30</v>
      </c>
      <c r="J15">
        <v>10</v>
      </c>
      <c r="K15">
        <v>120</v>
      </c>
    </row>
    <row r="16" spans="1:11" x14ac:dyDescent="0.3">
      <c r="A16">
        <v>2026</v>
      </c>
      <c r="B16">
        <v>1</v>
      </c>
      <c r="C16" t="s">
        <v>11</v>
      </c>
      <c r="D16" t="s">
        <v>17</v>
      </c>
      <c r="E16" t="str">
        <f>TEXT(11125954000147,"00000000000000")</f>
        <v>11125954000147</v>
      </c>
      <c r="F16" t="s">
        <v>18</v>
      </c>
      <c r="G16" t="s">
        <v>14</v>
      </c>
      <c r="H16">
        <v>28011104</v>
      </c>
      <c r="I16" t="s">
        <v>31</v>
      </c>
      <c r="J16">
        <v>11</v>
      </c>
      <c r="K16">
        <v>195.8</v>
      </c>
    </row>
    <row r="17" spans="1:11" x14ac:dyDescent="0.3">
      <c r="A17">
        <v>2026</v>
      </c>
      <c r="B17">
        <v>1</v>
      </c>
      <c r="C17" t="s">
        <v>11</v>
      </c>
      <c r="D17" t="s">
        <v>17</v>
      </c>
      <c r="E17" t="str">
        <f>TEXT(11125954000147,"00000000000000")</f>
        <v>11125954000147</v>
      </c>
      <c r="F17" t="s">
        <v>18</v>
      </c>
      <c r="G17" t="s">
        <v>14</v>
      </c>
      <c r="H17">
        <v>28011120</v>
      </c>
      <c r="I17" t="s">
        <v>32</v>
      </c>
      <c r="J17">
        <v>1</v>
      </c>
      <c r="K17">
        <v>3.4</v>
      </c>
    </row>
    <row r="18" spans="1:11" x14ac:dyDescent="0.3">
      <c r="A18">
        <v>2026</v>
      </c>
      <c r="B18">
        <v>1</v>
      </c>
      <c r="C18" t="s">
        <v>11</v>
      </c>
      <c r="D18" t="s">
        <v>17</v>
      </c>
      <c r="E18" t="str">
        <f>TEXT(11125954000147,"00000000000000")</f>
        <v>11125954000147</v>
      </c>
      <c r="F18" t="s">
        <v>18</v>
      </c>
      <c r="G18" t="s">
        <v>14</v>
      </c>
      <c r="H18">
        <v>28011139</v>
      </c>
      <c r="I18" t="s">
        <v>33</v>
      </c>
      <c r="J18">
        <v>2</v>
      </c>
      <c r="K18">
        <v>6.4</v>
      </c>
    </row>
    <row r="19" spans="1:11" x14ac:dyDescent="0.3">
      <c r="A19">
        <v>2026</v>
      </c>
      <c r="B19">
        <v>1</v>
      </c>
      <c r="C19" t="s">
        <v>11</v>
      </c>
      <c r="D19" t="s">
        <v>17</v>
      </c>
      <c r="E19" t="str">
        <f>TEXT(11125954000147,"00000000000000")</f>
        <v>11125954000147</v>
      </c>
      <c r="F19" t="s">
        <v>18</v>
      </c>
      <c r="G19" t="s">
        <v>14</v>
      </c>
      <c r="H19">
        <v>28011210</v>
      </c>
      <c r="I19" t="s">
        <v>34</v>
      </c>
      <c r="J19">
        <v>1</v>
      </c>
      <c r="K19">
        <v>2.96</v>
      </c>
    </row>
    <row r="20" spans="1:11" x14ac:dyDescent="0.3">
      <c r="A20">
        <v>2026</v>
      </c>
      <c r="B20">
        <v>1</v>
      </c>
      <c r="C20" t="s">
        <v>11</v>
      </c>
      <c r="D20" t="s">
        <v>17</v>
      </c>
      <c r="E20" t="str">
        <f>TEXT(11125954000147,"00000000000000")</f>
        <v>11125954000147</v>
      </c>
      <c r="F20" t="s">
        <v>18</v>
      </c>
      <c r="G20" t="s">
        <v>14</v>
      </c>
      <c r="H20">
        <v>28011252</v>
      </c>
      <c r="I20" t="s">
        <v>35</v>
      </c>
      <c r="J20">
        <v>1</v>
      </c>
      <c r="K20">
        <v>3</v>
      </c>
    </row>
    <row r="21" spans="1:11" x14ac:dyDescent="0.3">
      <c r="A21">
        <v>2026</v>
      </c>
      <c r="B21">
        <v>1</v>
      </c>
      <c r="C21" t="s">
        <v>11</v>
      </c>
      <c r="D21" t="s">
        <v>17</v>
      </c>
      <c r="E21" t="str">
        <f>TEXT(11125954000147,"00000000000000")</f>
        <v>11125954000147</v>
      </c>
      <c r="F21" t="s">
        <v>18</v>
      </c>
      <c r="G21" t="s">
        <v>14</v>
      </c>
      <c r="H21">
        <v>28011279</v>
      </c>
      <c r="I21" t="s">
        <v>36</v>
      </c>
      <c r="J21">
        <v>1</v>
      </c>
      <c r="K21">
        <v>2.96</v>
      </c>
    </row>
    <row r="22" spans="1:11" x14ac:dyDescent="0.3">
      <c r="A22">
        <v>2026</v>
      </c>
      <c r="B22">
        <v>1</v>
      </c>
      <c r="C22" t="s">
        <v>11</v>
      </c>
      <c r="D22" t="s">
        <v>17</v>
      </c>
      <c r="E22" t="str">
        <f>TEXT(11125954000147,"00000000000000")</f>
        <v>11125954000147</v>
      </c>
      <c r="F22" t="s">
        <v>18</v>
      </c>
      <c r="G22" t="s">
        <v>14</v>
      </c>
      <c r="H22">
        <v>28011368</v>
      </c>
      <c r="I22" t="s">
        <v>37</v>
      </c>
      <c r="J22">
        <v>5</v>
      </c>
      <c r="K22">
        <v>15</v>
      </c>
    </row>
    <row r="23" spans="1:11" x14ac:dyDescent="0.3">
      <c r="A23">
        <v>2026</v>
      </c>
      <c r="B23">
        <v>1</v>
      </c>
      <c r="C23" t="s">
        <v>11</v>
      </c>
      <c r="D23" t="s">
        <v>17</v>
      </c>
      <c r="E23" t="str">
        <f>TEXT(11125954000147,"00000000000000")</f>
        <v>11125954000147</v>
      </c>
      <c r="F23" t="s">
        <v>18</v>
      </c>
      <c r="G23" t="s">
        <v>14</v>
      </c>
      <c r="H23">
        <v>28011376</v>
      </c>
      <c r="I23" t="s">
        <v>38</v>
      </c>
      <c r="J23">
        <v>7</v>
      </c>
      <c r="K23">
        <v>21</v>
      </c>
    </row>
    <row r="24" spans="1:11" x14ac:dyDescent="0.3">
      <c r="A24">
        <v>2026</v>
      </c>
      <c r="B24">
        <v>1</v>
      </c>
      <c r="C24" t="s">
        <v>11</v>
      </c>
      <c r="D24" t="s">
        <v>17</v>
      </c>
      <c r="E24" t="str">
        <f>TEXT(11125954000147,"00000000000000")</f>
        <v>11125954000147</v>
      </c>
      <c r="F24" t="s">
        <v>18</v>
      </c>
      <c r="G24" t="s">
        <v>14</v>
      </c>
      <c r="H24">
        <v>28011414</v>
      </c>
      <c r="I24" t="s">
        <v>39</v>
      </c>
      <c r="J24">
        <v>9</v>
      </c>
      <c r="K24">
        <v>27</v>
      </c>
    </row>
    <row r="25" spans="1:11" x14ac:dyDescent="0.3">
      <c r="A25">
        <v>2026</v>
      </c>
      <c r="B25">
        <v>1</v>
      </c>
      <c r="C25" t="s">
        <v>11</v>
      </c>
      <c r="D25" t="s">
        <v>17</v>
      </c>
      <c r="E25" t="str">
        <f>TEXT(11125954000147,"00000000000000")</f>
        <v>11125954000147</v>
      </c>
      <c r="F25" t="s">
        <v>18</v>
      </c>
      <c r="G25" t="s">
        <v>14</v>
      </c>
      <c r="H25">
        <v>28011449</v>
      </c>
      <c r="I25" t="s">
        <v>40</v>
      </c>
      <c r="J25">
        <v>12</v>
      </c>
      <c r="K25">
        <v>230.4</v>
      </c>
    </row>
    <row r="26" spans="1:11" x14ac:dyDescent="0.3">
      <c r="A26">
        <v>2026</v>
      </c>
      <c r="B26">
        <v>1</v>
      </c>
      <c r="C26" t="s">
        <v>11</v>
      </c>
      <c r="D26" t="s">
        <v>17</v>
      </c>
      <c r="E26" t="str">
        <f>TEXT(11125954000147,"00000000000000")</f>
        <v>11125954000147</v>
      </c>
      <c r="F26" t="s">
        <v>18</v>
      </c>
      <c r="G26" t="s">
        <v>14</v>
      </c>
      <c r="H26">
        <v>28030141</v>
      </c>
      <c r="I26" t="s">
        <v>41</v>
      </c>
      <c r="J26">
        <v>2</v>
      </c>
      <c r="K26">
        <v>8.56</v>
      </c>
    </row>
    <row r="27" spans="1:11" x14ac:dyDescent="0.3">
      <c r="A27">
        <v>2026</v>
      </c>
      <c r="B27">
        <v>1</v>
      </c>
      <c r="C27" t="s">
        <v>11</v>
      </c>
      <c r="D27" t="s">
        <v>17</v>
      </c>
      <c r="E27" t="str">
        <f>TEXT(11125954000147,"00000000000000")</f>
        <v>11125954000147</v>
      </c>
      <c r="F27" t="s">
        <v>18</v>
      </c>
      <c r="G27" t="s">
        <v>14</v>
      </c>
      <c r="H27">
        <v>28040481</v>
      </c>
      <c r="I27" t="s">
        <v>42</v>
      </c>
      <c r="J27">
        <v>11</v>
      </c>
      <c r="K27">
        <v>70.400000000000006</v>
      </c>
    </row>
    <row r="28" spans="1:11" x14ac:dyDescent="0.3">
      <c r="A28">
        <v>2026</v>
      </c>
      <c r="B28">
        <v>1</v>
      </c>
      <c r="C28" t="s">
        <v>11</v>
      </c>
      <c r="D28" t="s">
        <v>17</v>
      </c>
      <c r="E28" t="str">
        <f>TEXT(11125954000147,"00000000000000")</f>
        <v>11125954000147</v>
      </c>
      <c r="F28" t="s">
        <v>18</v>
      </c>
      <c r="G28" t="s">
        <v>14</v>
      </c>
      <c r="H28">
        <v>28040490</v>
      </c>
      <c r="I28" t="s">
        <v>43</v>
      </c>
      <c r="J28">
        <v>1</v>
      </c>
      <c r="K28">
        <v>2.12</v>
      </c>
    </row>
    <row r="29" spans="1:11" x14ac:dyDescent="0.3">
      <c r="A29">
        <v>2026</v>
      </c>
      <c r="B29">
        <v>1</v>
      </c>
      <c r="C29" t="s">
        <v>11</v>
      </c>
      <c r="D29" t="s">
        <v>17</v>
      </c>
      <c r="E29" t="str">
        <f>TEXT(11125954000147,"00000000000000")</f>
        <v>11125954000147</v>
      </c>
      <c r="F29" t="s">
        <v>18</v>
      </c>
      <c r="G29" t="s">
        <v>14</v>
      </c>
      <c r="H29">
        <v>28050142</v>
      </c>
      <c r="I29" t="s">
        <v>44</v>
      </c>
      <c r="J29">
        <v>1</v>
      </c>
      <c r="K29">
        <v>17.12</v>
      </c>
    </row>
    <row r="30" spans="1:11" x14ac:dyDescent="0.3">
      <c r="A30">
        <v>2026</v>
      </c>
      <c r="B30">
        <v>1</v>
      </c>
      <c r="C30" t="s">
        <v>11</v>
      </c>
      <c r="D30" t="s">
        <v>17</v>
      </c>
      <c r="E30" t="str">
        <f>TEXT(11125954000147,"00000000000000")</f>
        <v>11125954000147</v>
      </c>
      <c r="F30" t="s">
        <v>18</v>
      </c>
      <c r="G30" t="s">
        <v>14</v>
      </c>
      <c r="H30">
        <v>28050240</v>
      </c>
      <c r="I30" t="s">
        <v>45</v>
      </c>
      <c r="J30">
        <v>2</v>
      </c>
      <c r="K30">
        <v>44.8</v>
      </c>
    </row>
    <row r="31" spans="1:11" x14ac:dyDescent="0.3">
      <c r="A31">
        <v>2026</v>
      </c>
      <c r="B31">
        <v>1</v>
      </c>
      <c r="C31" t="s">
        <v>11</v>
      </c>
      <c r="D31" t="s">
        <v>17</v>
      </c>
      <c r="E31" t="str">
        <f>TEXT(11125954000147,"00000000000000")</f>
        <v>11125954000147</v>
      </c>
      <c r="F31" t="s">
        <v>18</v>
      </c>
      <c r="G31" t="s">
        <v>14</v>
      </c>
      <c r="H31">
        <v>28050312</v>
      </c>
      <c r="I31" t="s">
        <v>46</v>
      </c>
      <c r="J31">
        <v>3</v>
      </c>
      <c r="K31">
        <v>48</v>
      </c>
    </row>
    <row r="32" spans="1:11" x14ac:dyDescent="0.3">
      <c r="A32">
        <v>2026</v>
      </c>
      <c r="B32">
        <v>1</v>
      </c>
      <c r="C32" t="s">
        <v>11</v>
      </c>
      <c r="D32" t="s">
        <v>17</v>
      </c>
      <c r="E32" t="str">
        <f>TEXT(11125954000147,"00000000000000")</f>
        <v>11125954000147</v>
      </c>
      <c r="F32" t="s">
        <v>18</v>
      </c>
      <c r="G32" t="s">
        <v>14</v>
      </c>
      <c r="H32">
        <v>28050355</v>
      </c>
      <c r="I32" t="s">
        <v>47</v>
      </c>
      <c r="J32">
        <v>4</v>
      </c>
      <c r="K32">
        <v>51.2</v>
      </c>
    </row>
    <row r="33" spans="1:11" x14ac:dyDescent="0.3">
      <c r="A33">
        <v>2026</v>
      </c>
      <c r="B33">
        <v>1</v>
      </c>
      <c r="C33" t="s">
        <v>11</v>
      </c>
      <c r="D33" t="s">
        <v>17</v>
      </c>
      <c r="E33" t="str">
        <f>TEXT(11125954000147,"00000000000000")</f>
        <v>11125954000147</v>
      </c>
      <c r="F33" t="s">
        <v>18</v>
      </c>
      <c r="G33" t="s">
        <v>14</v>
      </c>
      <c r="H33">
        <v>28050380</v>
      </c>
      <c r="I33" t="s">
        <v>48</v>
      </c>
      <c r="J33">
        <v>3</v>
      </c>
      <c r="K33">
        <v>48</v>
      </c>
    </row>
    <row r="34" spans="1:11" x14ac:dyDescent="0.3">
      <c r="A34">
        <v>2026</v>
      </c>
      <c r="B34">
        <v>1</v>
      </c>
      <c r="C34" t="s">
        <v>11</v>
      </c>
      <c r="D34" t="s">
        <v>17</v>
      </c>
      <c r="E34" t="str">
        <f>TEXT(11125954000147,"00000000000000")</f>
        <v>11125954000147</v>
      </c>
      <c r="F34" t="s">
        <v>18</v>
      </c>
      <c r="G34" t="s">
        <v>14</v>
      </c>
      <c r="H34">
        <v>28050690</v>
      </c>
      <c r="I34" t="s">
        <v>49</v>
      </c>
      <c r="J34">
        <v>4</v>
      </c>
      <c r="K34">
        <v>92.8</v>
      </c>
    </row>
    <row r="35" spans="1:11" x14ac:dyDescent="0.3">
      <c r="A35">
        <v>2026</v>
      </c>
      <c r="B35">
        <v>1</v>
      </c>
      <c r="C35" t="s">
        <v>11</v>
      </c>
      <c r="D35" t="s">
        <v>17</v>
      </c>
      <c r="E35" t="str">
        <f>TEXT(11125954000147,"00000000000000")</f>
        <v>11125954000147</v>
      </c>
      <c r="F35" t="s">
        <v>18</v>
      </c>
      <c r="G35" t="s">
        <v>14</v>
      </c>
      <c r="H35">
        <v>28050703</v>
      </c>
      <c r="I35" t="s">
        <v>50</v>
      </c>
      <c r="J35">
        <v>8</v>
      </c>
      <c r="K35">
        <v>153.6</v>
      </c>
    </row>
    <row r="36" spans="1:11" x14ac:dyDescent="0.3">
      <c r="A36">
        <v>2026</v>
      </c>
      <c r="B36">
        <v>1</v>
      </c>
      <c r="C36" t="s">
        <v>11</v>
      </c>
      <c r="D36" t="s">
        <v>17</v>
      </c>
      <c r="E36" t="str">
        <f>TEXT(11125954000147,"00000000000000")</f>
        <v>11125954000147</v>
      </c>
      <c r="F36" t="s">
        <v>18</v>
      </c>
      <c r="G36" t="s">
        <v>14</v>
      </c>
      <c r="H36">
        <v>28050720</v>
      </c>
      <c r="I36" t="s">
        <v>51</v>
      </c>
      <c r="J36">
        <v>5</v>
      </c>
      <c r="K36">
        <v>96</v>
      </c>
    </row>
    <row r="37" spans="1:11" x14ac:dyDescent="0.3">
      <c r="A37">
        <v>2026</v>
      </c>
      <c r="B37">
        <v>1</v>
      </c>
      <c r="C37" t="s">
        <v>11</v>
      </c>
      <c r="D37" t="s">
        <v>17</v>
      </c>
      <c r="E37" t="str">
        <f>TEXT(11125954000147,"00000000000000")</f>
        <v>11125954000147</v>
      </c>
      <c r="F37" t="s">
        <v>18</v>
      </c>
      <c r="G37" t="s">
        <v>14</v>
      </c>
      <c r="H37">
        <v>28050762</v>
      </c>
      <c r="I37" t="s">
        <v>52</v>
      </c>
      <c r="J37">
        <v>1</v>
      </c>
      <c r="K37">
        <v>46.4</v>
      </c>
    </row>
    <row r="38" spans="1:11" x14ac:dyDescent="0.3">
      <c r="A38">
        <v>2026</v>
      </c>
      <c r="B38">
        <v>1</v>
      </c>
      <c r="C38" t="s">
        <v>11</v>
      </c>
      <c r="D38" t="s">
        <v>17</v>
      </c>
      <c r="E38" t="str">
        <f>TEXT(11125954000147,"00000000000000")</f>
        <v>11125954000147</v>
      </c>
      <c r="F38" t="s">
        <v>18</v>
      </c>
      <c r="G38" t="s">
        <v>14</v>
      </c>
      <c r="H38">
        <v>28050770</v>
      </c>
      <c r="I38" t="s">
        <v>53</v>
      </c>
      <c r="J38">
        <v>3</v>
      </c>
      <c r="K38">
        <v>96</v>
      </c>
    </row>
    <row r="39" spans="1:11" x14ac:dyDescent="0.3">
      <c r="A39">
        <v>2026</v>
      </c>
      <c r="B39">
        <v>1</v>
      </c>
      <c r="C39" t="s">
        <v>11</v>
      </c>
      <c r="D39" t="s">
        <v>17</v>
      </c>
      <c r="E39" t="str">
        <f>TEXT(11125954000147,"00000000000000")</f>
        <v>11125954000147</v>
      </c>
      <c r="F39" t="s">
        <v>18</v>
      </c>
      <c r="G39" t="s">
        <v>14</v>
      </c>
      <c r="H39">
        <v>28050800</v>
      </c>
      <c r="I39" t="s">
        <v>54</v>
      </c>
      <c r="J39">
        <v>1</v>
      </c>
      <c r="K39">
        <v>32</v>
      </c>
    </row>
    <row r="40" spans="1:11" x14ac:dyDescent="0.3">
      <c r="A40">
        <v>2026</v>
      </c>
      <c r="B40">
        <v>1</v>
      </c>
      <c r="C40" t="s">
        <v>11</v>
      </c>
      <c r="D40" t="s">
        <v>17</v>
      </c>
      <c r="E40" t="str">
        <f>TEXT(11125954000147,"00000000000000")</f>
        <v>11125954000147</v>
      </c>
      <c r="F40" t="s">
        <v>18</v>
      </c>
      <c r="G40" t="s">
        <v>14</v>
      </c>
      <c r="H40">
        <v>28050827</v>
      </c>
      <c r="I40" t="s">
        <v>55</v>
      </c>
      <c r="J40">
        <v>2</v>
      </c>
      <c r="K40">
        <v>36.32</v>
      </c>
    </row>
    <row r="41" spans="1:11" x14ac:dyDescent="0.3">
      <c r="A41">
        <v>2026</v>
      </c>
      <c r="B41">
        <v>1</v>
      </c>
      <c r="C41" t="s">
        <v>11</v>
      </c>
      <c r="D41" t="s">
        <v>17</v>
      </c>
      <c r="E41" t="str">
        <f>TEXT(11125954000147,"00000000000000")</f>
        <v>11125954000147</v>
      </c>
      <c r="F41" t="s">
        <v>18</v>
      </c>
      <c r="G41" t="s">
        <v>14</v>
      </c>
      <c r="H41">
        <v>28050991</v>
      </c>
      <c r="I41" t="s">
        <v>56</v>
      </c>
      <c r="J41">
        <v>12</v>
      </c>
      <c r="K41">
        <v>364.8</v>
      </c>
    </row>
    <row r="42" spans="1:11" x14ac:dyDescent="0.3">
      <c r="A42">
        <v>2026</v>
      </c>
      <c r="B42">
        <v>1</v>
      </c>
      <c r="C42" t="s">
        <v>11</v>
      </c>
      <c r="D42" t="s">
        <v>17</v>
      </c>
      <c r="E42" t="str">
        <f>TEXT(11125954000147,"00000000000000")</f>
        <v>11125954000147</v>
      </c>
      <c r="F42" t="s">
        <v>18</v>
      </c>
      <c r="G42" t="s">
        <v>14</v>
      </c>
      <c r="H42">
        <v>28060156</v>
      </c>
      <c r="I42" t="s">
        <v>57</v>
      </c>
      <c r="J42">
        <v>1</v>
      </c>
      <c r="K42">
        <v>22.64</v>
      </c>
    </row>
    <row r="43" spans="1:11" x14ac:dyDescent="0.3">
      <c r="A43">
        <v>2026</v>
      </c>
      <c r="B43">
        <v>1</v>
      </c>
      <c r="C43" t="s">
        <v>11</v>
      </c>
      <c r="D43" t="s">
        <v>17</v>
      </c>
      <c r="E43" t="str">
        <f>TEXT(11125954000147,"00000000000000")</f>
        <v>11125954000147</v>
      </c>
      <c r="F43" t="s">
        <v>18</v>
      </c>
      <c r="G43" t="s">
        <v>14</v>
      </c>
      <c r="H43">
        <v>28060210</v>
      </c>
      <c r="I43" t="s">
        <v>58</v>
      </c>
      <c r="J43">
        <v>2</v>
      </c>
      <c r="K43">
        <v>30.4</v>
      </c>
    </row>
    <row r="44" spans="1:11" x14ac:dyDescent="0.3">
      <c r="A44">
        <v>2026</v>
      </c>
      <c r="B44">
        <v>1</v>
      </c>
      <c r="C44" t="s">
        <v>11</v>
      </c>
      <c r="D44" t="s">
        <v>17</v>
      </c>
      <c r="E44" t="str">
        <f>TEXT(11125954000147,"00000000000000")</f>
        <v>11125954000147</v>
      </c>
      <c r="F44" t="s">
        <v>18</v>
      </c>
      <c r="G44" t="s">
        <v>14</v>
      </c>
      <c r="H44">
        <v>28060504</v>
      </c>
      <c r="I44" t="s">
        <v>59</v>
      </c>
      <c r="J44">
        <v>2</v>
      </c>
      <c r="K44">
        <v>10.8</v>
      </c>
    </row>
    <row r="45" spans="1:11" x14ac:dyDescent="0.3">
      <c r="A45">
        <v>2026</v>
      </c>
      <c r="B45">
        <v>1</v>
      </c>
      <c r="C45" t="s">
        <v>11</v>
      </c>
      <c r="D45" t="s">
        <v>17</v>
      </c>
      <c r="E45" t="str">
        <f>TEXT(11125954000147,"00000000000000")</f>
        <v>11125954000147</v>
      </c>
      <c r="F45" t="s">
        <v>18</v>
      </c>
      <c r="G45" t="s">
        <v>14</v>
      </c>
      <c r="H45">
        <v>28060601</v>
      </c>
      <c r="I45" t="s">
        <v>60</v>
      </c>
      <c r="J45">
        <v>1</v>
      </c>
      <c r="K45">
        <v>14</v>
      </c>
    </row>
    <row r="46" spans="1:11" x14ac:dyDescent="0.3">
      <c r="A46">
        <v>2026</v>
      </c>
      <c r="B46">
        <v>1</v>
      </c>
      <c r="C46" t="s">
        <v>11</v>
      </c>
      <c r="D46" t="s">
        <v>17</v>
      </c>
      <c r="E46" t="str">
        <f>TEXT(11125954000147,"00000000000000")</f>
        <v>11125954000147</v>
      </c>
      <c r="F46" t="s">
        <v>18</v>
      </c>
      <c r="G46" t="s">
        <v>14</v>
      </c>
      <c r="H46">
        <v>28060873</v>
      </c>
      <c r="I46" t="s">
        <v>61</v>
      </c>
      <c r="J46">
        <v>2</v>
      </c>
      <c r="K46">
        <v>6.4</v>
      </c>
    </row>
    <row r="47" spans="1:11" x14ac:dyDescent="0.3">
      <c r="A47">
        <v>2026</v>
      </c>
      <c r="B47">
        <v>1</v>
      </c>
      <c r="C47" t="s">
        <v>11</v>
      </c>
      <c r="D47" t="s">
        <v>17</v>
      </c>
      <c r="E47" t="str">
        <f>TEXT(11125954000147,"00000000000000")</f>
        <v>11125954000147</v>
      </c>
      <c r="F47" t="s">
        <v>18</v>
      </c>
      <c r="G47" t="s">
        <v>14</v>
      </c>
      <c r="H47">
        <v>28061004</v>
      </c>
      <c r="I47" t="s">
        <v>62</v>
      </c>
      <c r="J47">
        <v>3</v>
      </c>
      <c r="K47">
        <v>11.52</v>
      </c>
    </row>
    <row r="48" spans="1:11" x14ac:dyDescent="0.3">
      <c r="A48">
        <v>2026</v>
      </c>
      <c r="B48">
        <v>1</v>
      </c>
      <c r="C48" t="s">
        <v>11</v>
      </c>
      <c r="D48" t="s">
        <v>17</v>
      </c>
      <c r="E48" t="str">
        <f>TEXT(11125954000147,"00000000000000")</f>
        <v>11125954000147</v>
      </c>
      <c r="F48" t="s">
        <v>18</v>
      </c>
      <c r="G48" t="s">
        <v>14</v>
      </c>
      <c r="H48">
        <v>28061659</v>
      </c>
      <c r="I48" t="s">
        <v>63</v>
      </c>
      <c r="J48">
        <v>2</v>
      </c>
      <c r="K48">
        <v>86.4</v>
      </c>
    </row>
    <row r="49" spans="1:11" x14ac:dyDescent="0.3">
      <c r="A49">
        <v>2026</v>
      </c>
      <c r="B49">
        <v>1</v>
      </c>
      <c r="C49" t="s">
        <v>11</v>
      </c>
      <c r="D49" t="s">
        <v>17</v>
      </c>
      <c r="E49" t="str">
        <f>TEXT(11125954000147,"00000000000000")</f>
        <v>11125954000147</v>
      </c>
      <c r="F49" t="s">
        <v>18</v>
      </c>
      <c r="G49" t="s">
        <v>14</v>
      </c>
      <c r="H49">
        <v>28061691</v>
      </c>
      <c r="I49" t="s">
        <v>64</v>
      </c>
      <c r="J49">
        <v>2</v>
      </c>
      <c r="K49">
        <v>84.8</v>
      </c>
    </row>
    <row r="50" spans="1:11" x14ac:dyDescent="0.3">
      <c r="A50">
        <v>2026</v>
      </c>
      <c r="B50">
        <v>1</v>
      </c>
      <c r="C50" t="s">
        <v>11</v>
      </c>
      <c r="D50" t="s">
        <v>17</v>
      </c>
      <c r="E50" t="str">
        <f>TEXT(11125954000147,"00000000000000")</f>
        <v>11125954000147</v>
      </c>
      <c r="F50" t="s">
        <v>18</v>
      </c>
      <c r="G50" t="s">
        <v>14</v>
      </c>
      <c r="H50">
        <v>28062124</v>
      </c>
      <c r="I50" t="s">
        <v>65</v>
      </c>
      <c r="J50">
        <v>1</v>
      </c>
      <c r="K50">
        <v>17.2</v>
      </c>
    </row>
    <row r="51" spans="1:11" x14ac:dyDescent="0.3">
      <c r="A51">
        <v>2026</v>
      </c>
      <c r="B51">
        <v>1</v>
      </c>
      <c r="C51" t="s">
        <v>11</v>
      </c>
      <c r="D51" t="s">
        <v>17</v>
      </c>
      <c r="E51" t="str">
        <f>TEXT(11125954000147,"00000000000000")</f>
        <v>11125954000147</v>
      </c>
      <c r="F51" t="s">
        <v>18</v>
      </c>
      <c r="G51" t="s">
        <v>14</v>
      </c>
      <c r="H51">
        <v>28062515</v>
      </c>
      <c r="I51" t="s">
        <v>66</v>
      </c>
      <c r="J51">
        <v>4</v>
      </c>
      <c r="K51">
        <v>198.4</v>
      </c>
    </row>
    <row r="52" spans="1:11" x14ac:dyDescent="0.3">
      <c r="A52">
        <v>2026</v>
      </c>
      <c r="B52">
        <v>1</v>
      </c>
      <c r="C52" t="s">
        <v>11</v>
      </c>
      <c r="D52" t="s">
        <v>17</v>
      </c>
      <c r="E52" t="str">
        <f>TEXT(11125954000147,"00000000000000")</f>
        <v>11125954000147</v>
      </c>
      <c r="F52" t="s">
        <v>18</v>
      </c>
      <c r="G52" t="s">
        <v>14</v>
      </c>
      <c r="H52">
        <v>28090160</v>
      </c>
      <c r="I52" t="s">
        <v>67</v>
      </c>
      <c r="J52">
        <v>1</v>
      </c>
      <c r="K52">
        <v>21.6</v>
      </c>
    </row>
    <row r="53" spans="1:11" x14ac:dyDescent="0.3">
      <c r="A53">
        <v>2026</v>
      </c>
      <c r="B53">
        <v>1</v>
      </c>
      <c r="C53" t="s">
        <v>11</v>
      </c>
      <c r="D53" t="s">
        <v>17</v>
      </c>
      <c r="E53" t="str">
        <f>TEXT(11125954000147,"00000000000000")</f>
        <v>11125954000147</v>
      </c>
      <c r="F53" t="s">
        <v>18</v>
      </c>
      <c r="G53" t="s">
        <v>14</v>
      </c>
      <c r="H53">
        <v>28100549</v>
      </c>
      <c r="I53" t="s">
        <v>68</v>
      </c>
      <c r="J53">
        <v>2</v>
      </c>
      <c r="K53">
        <v>21.2</v>
      </c>
    </row>
    <row r="54" spans="1:11" x14ac:dyDescent="0.3">
      <c r="A54">
        <v>2026</v>
      </c>
      <c r="B54">
        <v>1</v>
      </c>
      <c r="C54" t="s">
        <v>11</v>
      </c>
      <c r="D54" t="s">
        <v>17</v>
      </c>
      <c r="E54" t="str">
        <f>TEXT(11125954000147,"00000000000000")</f>
        <v>11125954000147</v>
      </c>
      <c r="F54" t="s">
        <v>18</v>
      </c>
      <c r="G54" t="s">
        <v>14</v>
      </c>
      <c r="H54">
        <v>28130367</v>
      </c>
      <c r="I54" t="s">
        <v>69</v>
      </c>
      <c r="J54">
        <v>9</v>
      </c>
      <c r="K54">
        <v>34.56</v>
      </c>
    </row>
    <row r="55" spans="1:11" x14ac:dyDescent="0.3">
      <c r="A55">
        <v>2026</v>
      </c>
      <c r="B55">
        <v>1</v>
      </c>
      <c r="C55" t="s">
        <v>11</v>
      </c>
      <c r="D55" t="s">
        <v>17</v>
      </c>
      <c r="E55" t="str">
        <f>TEXT(11125954000147,"00000000000000")</f>
        <v>11125954000147</v>
      </c>
      <c r="F55" t="s">
        <v>18</v>
      </c>
      <c r="G55" t="s">
        <v>14</v>
      </c>
      <c r="H55">
        <v>28140079</v>
      </c>
      <c r="I55" t="s">
        <v>70</v>
      </c>
      <c r="J55">
        <v>1</v>
      </c>
      <c r="K55">
        <v>25.92</v>
      </c>
    </row>
    <row r="56" spans="1:11" x14ac:dyDescent="0.3">
      <c r="A56">
        <v>2026</v>
      </c>
      <c r="B56">
        <v>1</v>
      </c>
      <c r="C56" t="s">
        <v>11</v>
      </c>
      <c r="D56" t="s">
        <v>17</v>
      </c>
      <c r="E56" t="str">
        <f>TEXT(11125954000147,"00000000000000")</f>
        <v>11125954000147</v>
      </c>
      <c r="F56" t="s">
        <v>18</v>
      </c>
      <c r="G56" t="s">
        <v>14</v>
      </c>
      <c r="H56">
        <v>28150279</v>
      </c>
      <c r="I56" t="s">
        <v>71</v>
      </c>
      <c r="J56">
        <v>1</v>
      </c>
      <c r="K56">
        <v>25.92</v>
      </c>
    </row>
    <row r="57" spans="1:11" x14ac:dyDescent="0.3">
      <c r="A57">
        <v>2026</v>
      </c>
      <c r="B57">
        <v>1</v>
      </c>
      <c r="C57" t="s">
        <v>11</v>
      </c>
      <c r="D57" t="s">
        <v>17</v>
      </c>
      <c r="E57" t="str">
        <f>TEXT(11125954000147,"00000000000000")</f>
        <v>11125954000147</v>
      </c>
      <c r="F57" t="s">
        <v>18</v>
      </c>
      <c r="G57" t="s">
        <v>14</v>
      </c>
      <c r="H57">
        <v>31120300</v>
      </c>
      <c r="I57" t="s">
        <v>72</v>
      </c>
      <c r="J57">
        <v>1</v>
      </c>
      <c r="K57">
        <v>29.01</v>
      </c>
    </row>
    <row r="58" spans="1:11" x14ac:dyDescent="0.3">
      <c r="A58">
        <v>2026</v>
      </c>
      <c r="B58">
        <v>1</v>
      </c>
      <c r="C58" t="s">
        <v>11</v>
      </c>
      <c r="D58" t="s">
        <v>17</v>
      </c>
      <c r="E58" t="str">
        <f>TEXT(11164733486,"00000000000000")</f>
        <v>00011164733486</v>
      </c>
      <c r="F58" t="s">
        <v>73</v>
      </c>
      <c r="G58" t="s">
        <v>14</v>
      </c>
      <c r="H58">
        <v>26</v>
      </c>
      <c r="I58" t="s">
        <v>15</v>
      </c>
      <c r="J58">
        <v>24</v>
      </c>
      <c r="K58">
        <v>1440</v>
      </c>
    </row>
    <row r="59" spans="1:11" x14ac:dyDescent="0.3">
      <c r="A59">
        <v>2026</v>
      </c>
      <c r="B59">
        <v>1</v>
      </c>
      <c r="C59" t="s">
        <v>11</v>
      </c>
      <c r="D59" t="s">
        <v>17</v>
      </c>
      <c r="E59" t="str">
        <f>TEXT(11164733486,"00000000000000")</f>
        <v>00011164733486</v>
      </c>
      <c r="F59" t="s">
        <v>73</v>
      </c>
      <c r="G59" t="s">
        <v>14</v>
      </c>
      <c r="H59">
        <v>29</v>
      </c>
      <c r="I59" t="s">
        <v>16</v>
      </c>
      <c r="J59">
        <v>9</v>
      </c>
      <c r="K59">
        <v>540</v>
      </c>
    </row>
    <row r="60" spans="1:11" x14ac:dyDescent="0.3">
      <c r="A60">
        <v>2026</v>
      </c>
      <c r="B60">
        <v>1</v>
      </c>
      <c r="C60" t="s">
        <v>11</v>
      </c>
      <c r="D60" t="s">
        <v>74</v>
      </c>
      <c r="E60" t="str">
        <f>TEXT(17059090000199,"00000000000000")</f>
        <v>17059090000199</v>
      </c>
      <c r="F60" t="s">
        <v>75</v>
      </c>
      <c r="G60" t="s">
        <v>14</v>
      </c>
      <c r="H60">
        <v>28010175</v>
      </c>
      <c r="I60" t="s">
        <v>19</v>
      </c>
      <c r="J60">
        <v>6</v>
      </c>
      <c r="K60">
        <v>17.760000000000002</v>
      </c>
    </row>
    <row r="61" spans="1:11" x14ac:dyDescent="0.3">
      <c r="A61">
        <v>2026</v>
      </c>
      <c r="B61">
        <v>1</v>
      </c>
      <c r="C61" t="s">
        <v>11</v>
      </c>
      <c r="D61" t="s">
        <v>74</v>
      </c>
      <c r="E61" t="str">
        <f>TEXT(17059090000199,"00000000000000")</f>
        <v>17059090000199</v>
      </c>
      <c r="F61" t="s">
        <v>75</v>
      </c>
      <c r="G61" t="s">
        <v>14</v>
      </c>
      <c r="H61">
        <v>28010256</v>
      </c>
      <c r="I61" t="s">
        <v>76</v>
      </c>
      <c r="J61">
        <v>1</v>
      </c>
      <c r="K61">
        <v>3.84</v>
      </c>
    </row>
    <row r="62" spans="1:11" x14ac:dyDescent="0.3">
      <c r="A62">
        <v>2026</v>
      </c>
      <c r="B62">
        <v>1</v>
      </c>
      <c r="C62" t="s">
        <v>11</v>
      </c>
      <c r="D62" t="s">
        <v>74</v>
      </c>
      <c r="E62" t="str">
        <f>TEXT(17059090000199,"00000000000000")</f>
        <v>17059090000199</v>
      </c>
      <c r="F62" t="s">
        <v>75</v>
      </c>
      <c r="G62" t="s">
        <v>14</v>
      </c>
      <c r="H62">
        <v>28010329</v>
      </c>
      <c r="I62" t="s">
        <v>21</v>
      </c>
      <c r="J62">
        <v>1</v>
      </c>
      <c r="K62">
        <v>2.96</v>
      </c>
    </row>
    <row r="63" spans="1:11" x14ac:dyDescent="0.3">
      <c r="A63">
        <v>2026</v>
      </c>
      <c r="B63">
        <v>1</v>
      </c>
      <c r="C63" t="s">
        <v>11</v>
      </c>
      <c r="D63" t="s">
        <v>74</v>
      </c>
      <c r="E63" t="str">
        <f>TEXT(17059090000199,"00000000000000")</f>
        <v>17059090000199</v>
      </c>
      <c r="F63" t="s">
        <v>75</v>
      </c>
      <c r="G63" t="s">
        <v>14</v>
      </c>
      <c r="H63">
        <v>28010469</v>
      </c>
      <c r="I63" t="s">
        <v>22</v>
      </c>
      <c r="J63">
        <v>2</v>
      </c>
      <c r="K63">
        <v>6</v>
      </c>
    </row>
    <row r="64" spans="1:11" x14ac:dyDescent="0.3">
      <c r="A64">
        <v>2026</v>
      </c>
      <c r="B64">
        <v>1</v>
      </c>
      <c r="C64" t="s">
        <v>11</v>
      </c>
      <c r="D64" t="s">
        <v>74</v>
      </c>
      <c r="E64" t="str">
        <f>TEXT(17059090000199,"00000000000000")</f>
        <v>17059090000199</v>
      </c>
      <c r="F64" t="s">
        <v>75</v>
      </c>
      <c r="G64" t="s">
        <v>14</v>
      </c>
      <c r="H64">
        <v>28010507</v>
      </c>
      <c r="I64" t="s">
        <v>77</v>
      </c>
      <c r="J64">
        <v>12</v>
      </c>
      <c r="K64">
        <v>36</v>
      </c>
    </row>
    <row r="65" spans="1:11" x14ac:dyDescent="0.3">
      <c r="A65">
        <v>2026</v>
      </c>
      <c r="B65">
        <v>1</v>
      </c>
      <c r="C65" t="s">
        <v>11</v>
      </c>
      <c r="D65" t="s">
        <v>74</v>
      </c>
      <c r="E65" t="str">
        <f>TEXT(17059090000199,"00000000000000")</f>
        <v>17059090000199</v>
      </c>
      <c r="F65" t="s">
        <v>75</v>
      </c>
      <c r="G65" t="s">
        <v>14</v>
      </c>
      <c r="H65">
        <v>28010540</v>
      </c>
      <c r="I65" t="s">
        <v>23</v>
      </c>
      <c r="J65">
        <v>12</v>
      </c>
      <c r="K65">
        <v>36</v>
      </c>
    </row>
    <row r="66" spans="1:11" x14ac:dyDescent="0.3">
      <c r="A66">
        <v>2026</v>
      </c>
      <c r="B66">
        <v>1</v>
      </c>
      <c r="C66" t="s">
        <v>11</v>
      </c>
      <c r="D66" t="s">
        <v>74</v>
      </c>
      <c r="E66" t="str">
        <f>TEXT(17059090000199,"00000000000000")</f>
        <v>17059090000199</v>
      </c>
      <c r="F66" t="s">
        <v>75</v>
      </c>
      <c r="G66" t="s">
        <v>14</v>
      </c>
      <c r="H66">
        <v>28010655</v>
      </c>
      <c r="I66" t="s">
        <v>78</v>
      </c>
      <c r="J66">
        <v>1</v>
      </c>
      <c r="K66">
        <v>6.4</v>
      </c>
    </row>
    <row r="67" spans="1:11" x14ac:dyDescent="0.3">
      <c r="A67">
        <v>2026</v>
      </c>
      <c r="B67">
        <v>1</v>
      </c>
      <c r="C67" t="s">
        <v>11</v>
      </c>
      <c r="D67" t="s">
        <v>74</v>
      </c>
      <c r="E67" t="str">
        <f>TEXT(17059090000199,"00000000000000")</f>
        <v>17059090000199</v>
      </c>
      <c r="F67" t="s">
        <v>75</v>
      </c>
      <c r="G67" t="s">
        <v>14</v>
      </c>
      <c r="H67">
        <v>28010795</v>
      </c>
      <c r="I67" t="s">
        <v>24</v>
      </c>
      <c r="J67">
        <v>3</v>
      </c>
      <c r="K67">
        <v>83.04</v>
      </c>
    </row>
    <row r="68" spans="1:11" x14ac:dyDescent="0.3">
      <c r="A68">
        <v>2026</v>
      </c>
      <c r="B68">
        <v>1</v>
      </c>
      <c r="C68" t="s">
        <v>11</v>
      </c>
      <c r="D68" t="s">
        <v>74</v>
      </c>
      <c r="E68" t="str">
        <f>TEXT(17059090000199,"00000000000000")</f>
        <v>17059090000199</v>
      </c>
      <c r="F68" t="s">
        <v>75</v>
      </c>
      <c r="G68" t="s">
        <v>14</v>
      </c>
      <c r="H68">
        <v>28010809</v>
      </c>
      <c r="I68" t="s">
        <v>25</v>
      </c>
      <c r="J68">
        <v>3</v>
      </c>
      <c r="K68">
        <v>12</v>
      </c>
    </row>
    <row r="69" spans="1:11" x14ac:dyDescent="0.3">
      <c r="A69">
        <v>2026</v>
      </c>
      <c r="B69">
        <v>1</v>
      </c>
      <c r="C69" t="s">
        <v>11</v>
      </c>
      <c r="D69" t="s">
        <v>74</v>
      </c>
      <c r="E69" t="str">
        <f>TEXT(17059090000199,"00000000000000")</f>
        <v>17059090000199</v>
      </c>
      <c r="F69" t="s">
        <v>75</v>
      </c>
      <c r="G69" t="s">
        <v>14</v>
      </c>
      <c r="H69">
        <v>28010850</v>
      </c>
      <c r="I69" t="s">
        <v>26</v>
      </c>
      <c r="J69">
        <v>3</v>
      </c>
      <c r="K69">
        <v>11.52</v>
      </c>
    </row>
    <row r="70" spans="1:11" x14ac:dyDescent="0.3">
      <c r="A70">
        <v>2026</v>
      </c>
      <c r="B70">
        <v>1</v>
      </c>
      <c r="C70" t="s">
        <v>11</v>
      </c>
      <c r="D70" t="s">
        <v>74</v>
      </c>
      <c r="E70" t="str">
        <f>TEXT(17059090000199,"00000000000000")</f>
        <v>17059090000199</v>
      </c>
      <c r="F70" t="s">
        <v>75</v>
      </c>
      <c r="G70" t="s">
        <v>14</v>
      </c>
      <c r="H70">
        <v>28010892</v>
      </c>
      <c r="I70" t="s">
        <v>27</v>
      </c>
      <c r="J70">
        <v>2</v>
      </c>
      <c r="K70">
        <v>6</v>
      </c>
    </row>
    <row r="71" spans="1:11" x14ac:dyDescent="0.3">
      <c r="A71">
        <v>2026</v>
      </c>
      <c r="B71">
        <v>1</v>
      </c>
      <c r="C71" t="s">
        <v>11</v>
      </c>
      <c r="D71" t="s">
        <v>74</v>
      </c>
      <c r="E71" t="str">
        <f>TEXT(17059090000199,"00000000000000")</f>
        <v>17059090000199</v>
      </c>
      <c r="F71" t="s">
        <v>75</v>
      </c>
      <c r="G71" t="s">
        <v>14</v>
      </c>
      <c r="H71">
        <v>28010957</v>
      </c>
      <c r="I71" t="s">
        <v>28</v>
      </c>
      <c r="J71">
        <v>4</v>
      </c>
      <c r="K71">
        <v>16.96</v>
      </c>
    </row>
    <row r="72" spans="1:11" x14ac:dyDescent="0.3">
      <c r="A72">
        <v>2026</v>
      </c>
      <c r="B72">
        <v>1</v>
      </c>
      <c r="C72" t="s">
        <v>11</v>
      </c>
      <c r="D72" t="s">
        <v>74</v>
      </c>
      <c r="E72" t="str">
        <f>TEXT(17059090000199,"00000000000000")</f>
        <v>17059090000199</v>
      </c>
      <c r="F72" t="s">
        <v>75</v>
      </c>
      <c r="G72" t="s">
        <v>14</v>
      </c>
      <c r="H72">
        <v>28010973</v>
      </c>
      <c r="I72" t="s">
        <v>29</v>
      </c>
      <c r="J72">
        <v>13</v>
      </c>
      <c r="K72">
        <v>39</v>
      </c>
    </row>
    <row r="73" spans="1:11" x14ac:dyDescent="0.3">
      <c r="A73">
        <v>2026</v>
      </c>
      <c r="B73">
        <v>1</v>
      </c>
      <c r="C73" t="s">
        <v>11</v>
      </c>
      <c r="D73" t="s">
        <v>74</v>
      </c>
      <c r="E73" t="str">
        <f>TEXT(17059090000199,"00000000000000")</f>
        <v>17059090000199</v>
      </c>
      <c r="F73" t="s">
        <v>75</v>
      </c>
      <c r="G73" t="s">
        <v>14</v>
      </c>
      <c r="H73">
        <v>28011023</v>
      </c>
      <c r="I73" t="s">
        <v>30</v>
      </c>
      <c r="J73">
        <v>10</v>
      </c>
      <c r="K73">
        <v>120</v>
      </c>
    </row>
    <row r="74" spans="1:11" x14ac:dyDescent="0.3">
      <c r="A74">
        <v>2026</v>
      </c>
      <c r="B74">
        <v>1</v>
      </c>
      <c r="C74" t="s">
        <v>11</v>
      </c>
      <c r="D74" t="s">
        <v>74</v>
      </c>
      <c r="E74" t="str">
        <f>TEXT(17059090000199,"00000000000000")</f>
        <v>17059090000199</v>
      </c>
      <c r="F74" t="s">
        <v>75</v>
      </c>
      <c r="G74" t="s">
        <v>14</v>
      </c>
      <c r="H74">
        <v>28011082</v>
      </c>
      <c r="I74" t="s">
        <v>79</v>
      </c>
      <c r="J74">
        <v>1</v>
      </c>
      <c r="K74">
        <v>4.32</v>
      </c>
    </row>
    <row r="75" spans="1:11" x14ac:dyDescent="0.3">
      <c r="A75">
        <v>2026</v>
      </c>
      <c r="B75">
        <v>1</v>
      </c>
      <c r="C75" t="s">
        <v>11</v>
      </c>
      <c r="D75" t="s">
        <v>74</v>
      </c>
      <c r="E75" t="str">
        <f>TEXT(17059090000199,"00000000000000")</f>
        <v>17059090000199</v>
      </c>
      <c r="F75" t="s">
        <v>75</v>
      </c>
      <c r="G75" t="s">
        <v>14</v>
      </c>
      <c r="H75">
        <v>28011120</v>
      </c>
      <c r="I75" t="s">
        <v>32</v>
      </c>
      <c r="J75">
        <v>4</v>
      </c>
      <c r="K75">
        <v>13.6</v>
      </c>
    </row>
    <row r="76" spans="1:11" x14ac:dyDescent="0.3">
      <c r="A76">
        <v>2026</v>
      </c>
      <c r="B76">
        <v>1</v>
      </c>
      <c r="C76" t="s">
        <v>11</v>
      </c>
      <c r="D76" t="s">
        <v>74</v>
      </c>
      <c r="E76" t="str">
        <f>TEXT(17059090000199,"00000000000000")</f>
        <v>17059090000199</v>
      </c>
      <c r="F76" t="s">
        <v>75</v>
      </c>
      <c r="G76" t="s">
        <v>14</v>
      </c>
      <c r="H76">
        <v>28011210</v>
      </c>
      <c r="I76" t="s">
        <v>34</v>
      </c>
      <c r="J76">
        <v>3</v>
      </c>
      <c r="K76">
        <v>8.8800000000000008</v>
      </c>
    </row>
    <row r="77" spans="1:11" x14ac:dyDescent="0.3">
      <c r="A77">
        <v>2026</v>
      </c>
      <c r="B77">
        <v>1</v>
      </c>
      <c r="C77" t="s">
        <v>11</v>
      </c>
      <c r="D77" t="s">
        <v>74</v>
      </c>
      <c r="E77" t="str">
        <f>TEXT(17059090000199,"00000000000000")</f>
        <v>17059090000199</v>
      </c>
      <c r="F77" t="s">
        <v>75</v>
      </c>
      <c r="G77" t="s">
        <v>14</v>
      </c>
      <c r="H77">
        <v>28011279</v>
      </c>
      <c r="I77" t="s">
        <v>36</v>
      </c>
      <c r="J77">
        <v>3</v>
      </c>
      <c r="K77">
        <v>8.8800000000000008</v>
      </c>
    </row>
    <row r="78" spans="1:11" x14ac:dyDescent="0.3">
      <c r="A78">
        <v>2026</v>
      </c>
      <c r="B78">
        <v>1</v>
      </c>
      <c r="C78" t="s">
        <v>11</v>
      </c>
      <c r="D78" t="s">
        <v>74</v>
      </c>
      <c r="E78" t="str">
        <f>TEXT(17059090000199,"00000000000000")</f>
        <v>17059090000199</v>
      </c>
      <c r="F78" t="s">
        <v>75</v>
      </c>
      <c r="G78" t="s">
        <v>14</v>
      </c>
      <c r="H78">
        <v>28011368</v>
      </c>
      <c r="I78" t="s">
        <v>37</v>
      </c>
      <c r="J78">
        <v>9</v>
      </c>
      <c r="K78">
        <v>27</v>
      </c>
    </row>
    <row r="79" spans="1:11" x14ac:dyDescent="0.3">
      <c r="A79">
        <v>2026</v>
      </c>
      <c r="B79">
        <v>1</v>
      </c>
      <c r="C79" t="s">
        <v>11</v>
      </c>
      <c r="D79" t="s">
        <v>74</v>
      </c>
      <c r="E79" t="str">
        <f>TEXT(17059090000199,"00000000000000")</f>
        <v>17059090000199</v>
      </c>
      <c r="F79" t="s">
        <v>75</v>
      </c>
      <c r="G79" t="s">
        <v>14</v>
      </c>
      <c r="H79">
        <v>28011376</v>
      </c>
      <c r="I79" t="s">
        <v>38</v>
      </c>
      <c r="J79">
        <v>9</v>
      </c>
      <c r="K79">
        <v>27</v>
      </c>
    </row>
    <row r="80" spans="1:11" x14ac:dyDescent="0.3">
      <c r="A80">
        <v>2026</v>
      </c>
      <c r="B80">
        <v>1</v>
      </c>
      <c r="C80" t="s">
        <v>11</v>
      </c>
      <c r="D80" t="s">
        <v>74</v>
      </c>
      <c r="E80" t="str">
        <f>TEXT(17059090000199,"00000000000000")</f>
        <v>17059090000199</v>
      </c>
      <c r="F80" t="s">
        <v>75</v>
      </c>
      <c r="G80" t="s">
        <v>14</v>
      </c>
      <c r="H80">
        <v>28011392</v>
      </c>
      <c r="I80" t="s">
        <v>80</v>
      </c>
      <c r="J80">
        <v>1</v>
      </c>
      <c r="K80">
        <v>7.07</v>
      </c>
    </row>
    <row r="81" spans="1:11" x14ac:dyDescent="0.3">
      <c r="A81">
        <v>2026</v>
      </c>
      <c r="B81">
        <v>1</v>
      </c>
      <c r="C81" t="s">
        <v>11</v>
      </c>
      <c r="D81" t="s">
        <v>74</v>
      </c>
      <c r="E81" t="str">
        <f>TEXT(17059090000199,"00000000000000")</f>
        <v>17059090000199</v>
      </c>
      <c r="F81" t="s">
        <v>75</v>
      </c>
      <c r="G81" t="s">
        <v>14</v>
      </c>
      <c r="H81">
        <v>28011414</v>
      </c>
      <c r="I81" t="s">
        <v>39</v>
      </c>
      <c r="J81">
        <v>9</v>
      </c>
      <c r="K81">
        <v>27</v>
      </c>
    </row>
    <row r="82" spans="1:11" x14ac:dyDescent="0.3">
      <c r="A82">
        <v>2026</v>
      </c>
      <c r="B82">
        <v>1</v>
      </c>
      <c r="C82" t="s">
        <v>11</v>
      </c>
      <c r="D82" t="s">
        <v>74</v>
      </c>
      <c r="E82" t="str">
        <f>TEXT(17059090000199,"00000000000000")</f>
        <v>17059090000199</v>
      </c>
      <c r="F82" t="s">
        <v>75</v>
      </c>
      <c r="G82" t="s">
        <v>14</v>
      </c>
      <c r="H82">
        <v>28011449</v>
      </c>
      <c r="I82" t="s">
        <v>40</v>
      </c>
      <c r="J82">
        <v>8</v>
      </c>
      <c r="K82">
        <v>153.6</v>
      </c>
    </row>
    <row r="83" spans="1:11" x14ac:dyDescent="0.3">
      <c r="A83">
        <v>2026</v>
      </c>
      <c r="B83">
        <v>1</v>
      </c>
      <c r="C83" t="s">
        <v>11</v>
      </c>
      <c r="D83" t="s">
        <v>74</v>
      </c>
      <c r="E83" t="str">
        <f>TEXT(17059090000199,"00000000000000")</f>
        <v>17059090000199</v>
      </c>
      <c r="F83" t="s">
        <v>75</v>
      </c>
      <c r="G83" t="s">
        <v>14</v>
      </c>
      <c r="H83">
        <v>28011805</v>
      </c>
      <c r="I83" t="s">
        <v>81</v>
      </c>
      <c r="J83">
        <v>12</v>
      </c>
      <c r="K83">
        <v>172.8</v>
      </c>
    </row>
    <row r="84" spans="1:11" x14ac:dyDescent="0.3">
      <c r="A84">
        <v>2026</v>
      </c>
      <c r="B84">
        <v>1</v>
      </c>
      <c r="C84" t="s">
        <v>11</v>
      </c>
      <c r="D84" t="s">
        <v>74</v>
      </c>
      <c r="E84" t="str">
        <f>TEXT(17059090000199,"00000000000000")</f>
        <v>17059090000199</v>
      </c>
      <c r="F84" t="s">
        <v>75</v>
      </c>
      <c r="G84" t="s">
        <v>14</v>
      </c>
      <c r="H84">
        <v>28030141</v>
      </c>
      <c r="I84" t="s">
        <v>41</v>
      </c>
      <c r="J84">
        <v>1</v>
      </c>
      <c r="K84">
        <v>4.28</v>
      </c>
    </row>
    <row r="85" spans="1:11" x14ac:dyDescent="0.3">
      <c r="A85">
        <v>2026</v>
      </c>
      <c r="B85">
        <v>1</v>
      </c>
      <c r="C85" t="s">
        <v>11</v>
      </c>
      <c r="D85" t="s">
        <v>74</v>
      </c>
      <c r="E85" t="str">
        <f>TEXT(17059090000199,"00000000000000")</f>
        <v>17059090000199</v>
      </c>
      <c r="F85" t="s">
        <v>75</v>
      </c>
      <c r="G85" t="s">
        <v>14</v>
      </c>
      <c r="H85">
        <v>28040139</v>
      </c>
      <c r="I85" t="s">
        <v>82</v>
      </c>
      <c r="J85">
        <v>1</v>
      </c>
      <c r="K85">
        <v>14.4</v>
      </c>
    </row>
    <row r="86" spans="1:11" x14ac:dyDescent="0.3">
      <c r="A86">
        <v>2026</v>
      </c>
      <c r="B86">
        <v>1</v>
      </c>
      <c r="C86" t="s">
        <v>11</v>
      </c>
      <c r="D86" t="s">
        <v>74</v>
      </c>
      <c r="E86" t="str">
        <f>TEXT(17059090000199,"00000000000000")</f>
        <v>17059090000199</v>
      </c>
      <c r="F86" t="s">
        <v>75</v>
      </c>
      <c r="G86" t="s">
        <v>14</v>
      </c>
      <c r="H86">
        <v>28040350</v>
      </c>
      <c r="I86" t="s">
        <v>83</v>
      </c>
      <c r="J86">
        <v>1</v>
      </c>
      <c r="K86">
        <v>6.4</v>
      </c>
    </row>
    <row r="87" spans="1:11" x14ac:dyDescent="0.3">
      <c r="A87">
        <v>2026</v>
      </c>
      <c r="B87">
        <v>1</v>
      </c>
      <c r="C87" t="s">
        <v>11</v>
      </c>
      <c r="D87" t="s">
        <v>74</v>
      </c>
      <c r="E87" t="str">
        <f>TEXT(17059090000199,"00000000000000")</f>
        <v>17059090000199</v>
      </c>
      <c r="F87" t="s">
        <v>75</v>
      </c>
      <c r="G87" t="s">
        <v>14</v>
      </c>
      <c r="H87">
        <v>28040481</v>
      </c>
      <c r="I87" t="s">
        <v>42</v>
      </c>
      <c r="J87">
        <v>14</v>
      </c>
      <c r="K87">
        <v>89.6</v>
      </c>
    </row>
    <row r="88" spans="1:11" x14ac:dyDescent="0.3">
      <c r="A88">
        <v>2026</v>
      </c>
      <c r="B88">
        <v>1</v>
      </c>
      <c r="C88" t="s">
        <v>11</v>
      </c>
      <c r="D88" t="s">
        <v>74</v>
      </c>
      <c r="E88" t="str">
        <f>TEXT(17059090000199,"00000000000000")</f>
        <v>17059090000199</v>
      </c>
      <c r="F88" t="s">
        <v>75</v>
      </c>
      <c r="G88" t="s">
        <v>14</v>
      </c>
      <c r="H88">
        <v>28040694</v>
      </c>
      <c r="I88" t="s">
        <v>84</v>
      </c>
      <c r="J88">
        <v>1</v>
      </c>
      <c r="K88">
        <v>2.12</v>
      </c>
    </row>
    <row r="89" spans="1:11" x14ac:dyDescent="0.3">
      <c r="A89">
        <v>2026</v>
      </c>
      <c r="B89">
        <v>1</v>
      </c>
      <c r="C89" t="s">
        <v>11</v>
      </c>
      <c r="D89" t="s">
        <v>74</v>
      </c>
      <c r="E89" t="str">
        <f>TEXT(17059090000199,"00000000000000")</f>
        <v>17059090000199</v>
      </c>
      <c r="F89" t="s">
        <v>75</v>
      </c>
      <c r="G89" t="s">
        <v>14</v>
      </c>
      <c r="H89">
        <v>28040791</v>
      </c>
      <c r="I89" t="s">
        <v>85</v>
      </c>
      <c r="J89">
        <v>1</v>
      </c>
      <c r="K89">
        <v>3.84</v>
      </c>
    </row>
    <row r="90" spans="1:11" x14ac:dyDescent="0.3">
      <c r="A90">
        <v>2026</v>
      </c>
      <c r="B90">
        <v>1</v>
      </c>
      <c r="C90" t="s">
        <v>11</v>
      </c>
      <c r="D90" t="s">
        <v>74</v>
      </c>
      <c r="E90" t="str">
        <f>TEXT(17059090000199,"00000000000000")</f>
        <v>17059090000199</v>
      </c>
      <c r="F90" t="s">
        <v>75</v>
      </c>
      <c r="G90" t="s">
        <v>14</v>
      </c>
      <c r="H90">
        <v>28050142</v>
      </c>
      <c r="I90" t="s">
        <v>44</v>
      </c>
      <c r="J90">
        <v>1</v>
      </c>
      <c r="K90">
        <v>17.12</v>
      </c>
    </row>
    <row r="91" spans="1:11" x14ac:dyDescent="0.3">
      <c r="A91">
        <v>2026</v>
      </c>
      <c r="B91">
        <v>1</v>
      </c>
      <c r="C91" t="s">
        <v>11</v>
      </c>
      <c r="D91" t="s">
        <v>74</v>
      </c>
      <c r="E91" t="str">
        <f>TEXT(17059090000199,"00000000000000")</f>
        <v>17059090000199</v>
      </c>
      <c r="F91" t="s">
        <v>75</v>
      </c>
      <c r="G91" t="s">
        <v>14</v>
      </c>
      <c r="H91">
        <v>28050240</v>
      </c>
      <c r="I91" t="s">
        <v>45</v>
      </c>
      <c r="J91">
        <v>1</v>
      </c>
      <c r="K91">
        <v>22.4</v>
      </c>
    </row>
    <row r="92" spans="1:11" x14ac:dyDescent="0.3">
      <c r="A92">
        <v>2026</v>
      </c>
      <c r="B92">
        <v>1</v>
      </c>
      <c r="C92" t="s">
        <v>11</v>
      </c>
      <c r="D92" t="s">
        <v>74</v>
      </c>
      <c r="E92" t="str">
        <f>TEXT(17059090000199,"00000000000000")</f>
        <v>17059090000199</v>
      </c>
      <c r="F92" t="s">
        <v>75</v>
      </c>
      <c r="G92" t="s">
        <v>14</v>
      </c>
      <c r="H92">
        <v>28050312</v>
      </c>
      <c r="I92" t="s">
        <v>46</v>
      </c>
      <c r="J92">
        <v>1</v>
      </c>
      <c r="K92">
        <v>16</v>
      </c>
    </row>
    <row r="93" spans="1:11" x14ac:dyDescent="0.3">
      <c r="A93">
        <v>2026</v>
      </c>
      <c r="B93">
        <v>1</v>
      </c>
      <c r="C93" t="s">
        <v>11</v>
      </c>
      <c r="D93" t="s">
        <v>74</v>
      </c>
      <c r="E93" t="str">
        <f>TEXT(17059090000199,"00000000000000")</f>
        <v>17059090000199</v>
      </c>
      <c r="F93" t="s">
        <v>75</v>
      </c>
      <c r="G93" t="s">
        <v>14</v>
      </c>
      <c r="H93">
        <v>28050355</v>
      </c>
      <c r="I93" t="s">
        <v>47</v>
      </c>
      <c r="J93">
        <v>1</v>
      </c>
      <c r="K93">
        <v>12.8</v>
      </c>
    </row>
    <row r="94" spans="1:11" x14ac:dyDescent="0.3">
      <c r="A94">
        <v>2026</v>
      </c>
      <c r="B94">
        <v>1</v>
      </c>
      <c r="C94" t="s">
        <v>11</v>
      </c>
      <c r="D94" t="s">
        <v>74</v>
      </c>
      <c r="E94" t="str">
        <f>TEXT(17059090000199,"00000000000000")</f>
        <v>17059090000199</v>
      </c>
      <c r="F94" t="s">
        <v>75</v>
      </c>
      <c r="G94" t="s">
        <v>14</v>
      </c>
      <c r="H94">
        <v>28050690</v>
      </c>
      <c r="I94" t="s">
        <v>49</v>
      </c>
      <c r="J94">
        <v>4</v>
      </c>
      <c r="K94">
        <v>92.8</v>
      </c>
    </row>
    <row r="95" spans="1:11" x14ac:dyDescent="0.3">
      <c r="A95">
        <v>2026</v>
      </c>
      <c r="B95">
        <v>1</v>
      </c>
      <c r="C95" t="s">
        <v>11</v>
      </c>
      <c r="D95" t="s">
        <v>74</v>
      </c>
      <c r="E95" t="str">
        <f>TEXT(17059090000199,"00000000000000")</f>
        <v>17059090000199</v>
      </c>
      <c r="F95" t="s">
        <v>75</v>
      </c>
      <c r="G95" t="s">
        <v>14</v>
      </c>
      <c r="H95">
        <v>28050703</v>
      </c>
      <c r="I95" t="s">
        <v>50</v>
      </c>
      <c r="J95">
        <v>11</v>
      </c>
      <c r="K95">
        <v>211.2</v>
      </c>
    </row>
    <row r="96" spans="1:11" x14ac:dyDescent="0.3">
      <c r="A96">
        <v>2026</v>
      </c>
      <c r="B96">
        <v>1</v>
      </c>
      <c r="C96" t="s">
        <v>11</v>
      </c>
      <c r="D96" t="s">
        <v>74</v>
      </c>
      <c r="E96" t="str">
        <f>TEXT(17059090000199,"00000000000000")</f>
        <v>17059090000199</v>
      </c>
      <c r="F96" t="s">
        <v>75</v>
      </c>
      <c r="G96" t="s">
        <v>14</v>
      </c>
      <c r="H96">
        <v>28050720</v>
      </c>
      <c r="I96" t="s">
        <v>51</v>
      </c>
      <c r="J96">
        <v>10</v>
      </c>
      <c r="K96">
        <v>192</v>
      </c>
    </row>
    <row r="97" spans="1:11" x14ac:dyDescent="0.3">
      <c r="A97">
        <v>2026</v>
      </c>
      <c r="B97">
        <v>1</v>
      </c>
      <c r="C97" t="s">
        <v>11</v>
      </c>
      <c r="D97" t="s">
        <v>74</v>
      </c>
      <c r="E97" t="str">
        <f>TEXT(17059090000199,"00000000000000")</f>
        <v>17059090000199</v>
      </c>
      <c r="F97" t="s">
        <v>75</v>
      </c>
      <c r="G97" t="s">
        <v>14</v>
      </c>
      <c r="H97">
        <v>28050770</v>
      </c>
      <c r="I97" t="s">
        <v>53</v>
      </c>
      <c r="J97">
        <v>4</v>
      </c>
      <c r="K97">
        <v>128</v>
      </c>
    </row>
    <row r="98" spans="1:11" x14ac:dyDescent="0.3">
      <c r="A98">
        <v>2026</v>
      </c>
      <c r="B98">
        <v>1</v>
      </c>
      <c r="C98" t="s">
        <v>11</v>
      </c>
      <c r="D98" t="s">
        <v>74</v>
      </c>
      <c r="E98" t="str">
        <f>TEXT(17059090000199,"00000000000000")</f>
        <v>17059090000199</v>
      </c>
      <c r="F98" t="s">
        <v>75</v>
      </c>
      <c r="G98" t="s">
        <v>14</v>
      </c>
      <c r="H98">
        <v>28050991</v>
      </c>
      <c r="I98" t="s">
        <v>56</v>
      </c>
      <c r="J98">
        <v>8</v>
      </c>
      <c r="K98">
        <v>243.2</v>
      </c>
    </row>
    <row r="99" spans="1:11" x14ac:dyDescent="0.3">
      <c r="A99">
        <v>2026</v>
      </c>
      <c r="B99">
        <v>1</v>
      </c>
      <c r="C99" t="s">
        <v>11</v>
      </c>
      <c r="D99" t="s">
        <v>74</v>
      </c>
      <c r="E99" t="str">
        <f>TEXT(17059090000199,"00000000000000")</f>
        <v>17059090000199</v>
      </c>
      <c r="F99" t="s">
        <v>75</v>
      </c>
      <c r="G99" t="s">
        <v>14</v>
      </c>
      <c r="H99">
        <v>28060083</v>
      </c>
      <c r="I99" t="s">
        <v>86</v>
      </c>
      <c r="J99">
        <v>1</v>
      </c>
      <c r="K99">
        <v>17.12</v>
      </c>
    </row>
    <row r="100" spans="1:11" x14ac:dyDescent="0.3">
      <c r="A100">
        <v>2026</v>
      </c>
      <c r="B100">
        <v>1</v>
      </c>
      <c r="C100" t="s">
        <v>11</v>
      </c>
      <c r="D100" t="s">
        <v>74</v>
      </c>
      <c r="E100" t="str">
        <f>TEXT(17059090000199,"00000000000000")</f>
        <v>17059090000199</v>
      </c>
      <c r="F100" t="s">
        <v>75</v>
      </c>
      <c r="G100" t="s">
        <v>14</v>
      </c>
      <c r="H100">
        <v>28060105</v>
      </c>
      <c r="I100" t="s">
        <v>87</v>
      </c>
      <c r="J100">
        <v>1</v>
      </c>
      <c r="K100">
        <v>21.4</v>
      </c>
    </row>
    <row r="101" spans="1:11" x14ac:dyDescent="0.3">
      <c r="A101">
        <v>2026</v>
      </c>
      <c r="B101">
        <v>1</v>
      </c>
      <c r="C101" t="s">
        <v>11</v>
      </c>
      <c r="D101" t="s">
        <v>74</v>
      </c>
      <c r="E101" t="str">
        <f>TEXT(17059090000199,"00000000000000")</f>
        <v>17059090000199</v>
      </c>
      <c r="F101" t="s">
        <v>75</v>
      </c>
      <c r="G101" t="s">
        <v>14</v>
      </c>
      <c r="H101">
        <v>28060113</v>
      </c>
      <c r="I101" t="s">
        <v>88</v>
      </c>
      <c r="J101">
        <v>1</v>
      </c>
      <c r="K101">
        <v>25.68</v>
      </c>
    </row>
    <row r="102" spans="1:11" x14ac:dyDescent="0.3">
      <c r="A102">
        <v>2026</v>
      </c>
      <c r="B102">
        <v>1</v>
      </c>
      <c r="C102" t="s">
        <v>11</v>
      </c>
      <c r="D102" t="s">
        <v>74</v>
      </c>
      <c r="E102" t="str">
        <f>TEXT(17059090000199,"00000000000000")</f>
        <v>17059090000199</v>
      </c>
      <c r="F102" t="s">
        <v>75</v>
      </c>
      <c r="G102" t="s">
        <v>14</v>
      </c>
      <c r="H102">
        <v>28060210</v>
      </c>
      <c r="I102" t="s">
        <v>58</v>
      </c>
      <c r="J102">
        <v>1</v>
      </c>
      <c r="K102">
        <v>15.2</v>
      </c>
    </row>
    <row r="103" spans="1:11" x14ac:dyDescent="0.3">
      <c r="A103">
        <v>2026</v>
      </c>
      <c r="B103">
        <v>1</v>
      </c>
      <c r="C103" t="s">
        <v>11</v>
      </c>
      <c r="D103" t="s">
        <v>74</v>
      </c>
      <c r="E103" t="str">
        <f>TEXT(17059090000199,"00000000000000")</f>
        <v>17059090000199</v>
      </c>
      <c r="F103" t="s">
        <v>75</v>
      </c>
      <c r="G103" t="s">
        <v>14</v>
      </c>
      <c r="H103">
        <v>28060229</v>
      </c>
      <c r="I103" t="s">
        <v>89</v>
      </c>
      <c r="J103">
        <v>1</v>
      </c>
      <c r="K103">
        <v>40</v>
      </c>
    </row>
    <row r="104" spans="1:11" x14ac:dyDescent="0.3">
      <c r="A104">
        <v>2026</v>
      </c>
      <c r="B104">
        <v>1</v>
      </c>
      <c r="C104" t="s">
        <v>11</v>
      </c>
      <c r="D104" t="s">
        <v>74</v>
      </c>
      <c r="E104" t="str">
        <f>TEXT(17059090000199,"00000000000000")</f>
        <v>17059090000199</v>
      </c>
      <c r="F104" t="s">
        <v>75</v>
      </c>
      <c r="G104" t="s">
        <v>14</v>
      </c>
      <c r="H104">
        <v>28060504</v>
      </c>
      <c r="I104" t="s">
        <v>59</v>
      </c>
      <c r="J104">
        <v>1</v>
      </c>
      <c r="K104">
        <v>5.4</v>
      </c>
    </row>
    <row r="105" spans="1:11" x14ac:dyDescent="0.3">
      <c r="A105">
        <v>2026</v>
      </c>
      <c r="B105">
        <v>1</v>
      </c>
      <c r="C105" t="s">
        <v>11</v>
      </c>
      <c r="D105" t="s">
        <v>74</v>
      </c>
      <c r="E105" t="str">
        <f>TEXT(17059090000199,"00000000000000")</f>
        <v>17059090000199</v>
      </c>
      <c r="F105" t="s">
        <v>75</v>
      </c>
      <c r="G105" t="s">
        <v>14</v>
      </c>
      <c r="H105">
        <v>28060873</v>
      </c>
      <c r="I105" t="s">
        <v>61</v>
      </c>
      <c r="J105">
        <v>2</v>
      </c>
      <c r="K105">
        <v>6.4</v>
      </c>
    </row>
    <row r="106" spans="1:11" x14ac:dyDescent="0.3">
      <c r="A106">
        <v>2026</v>
      </c>
      <c r="B106">
        <v>1</v>
      </c>
      <c r="C106" t="s">
        <v>11</v>
      </c>
      <c r="D106" t="s">
        <v>74</v>
      </c>
      <c r="E106" t="str">
        <f>TEXT(17059090000199,"00000000000000")</f>
        <v>17059090000199</v>
      </c>
      <c r="F106" t="s">
        <v>75</v>
      </c>
      <c r="G106" t="s">
        <v>14</v>
      </c>
      <c r="H106">
        <v>28061179</v>
      </c>
      <c r="I106" t="s">
        <v>90</v>
      </c>
      <c r="J106">
        <v>1</v>
      </c>
      <c r="K106">
        <v>30</v>
      </c>
    </row>
    <row r="107" spans="1:11" x14ac:dyDescent="0.3">
      <c r="A107">
        <v>2026</v>
      </c>
      <c r="B107">
        <v>1</v>
      </c>
      <c r="C107" t="s">
        <v>11</v>
      </c>
      <c r="D107" t="s">
        <v>74</v>
      </c>
      <c r="E107" t="str">
        <f>TEXT(17059090000199,"00000000000000")</f>
        <v>17059090000199</v>
      </c>
      <c r="F107" t="s">
        <v>75</v>
      </c>
      <c r="G107" t="s">
        <v>14</v>
      </c>
      <c r="H107">
        <v>28061594</v>
      </c>
      <c r="I107" t="s">
        <v>91</v>
      </c>
      <c r="J107">
        <v>1</v>
      </c>
      <c r="K107">
        <v>47</v>
      </c>
    </row>
    <row r="108" spans="1:11" x14ac:dyDescent="0.3">
      <c r="A108">
        <v>2026</v>
      </c>
      <c r="B108">
        <v>1</v>
      </c>
      <c r="C108" t="s">
        <v>11</v>
      </c>
      <c r="D108" t="s">
        <v>74</v>
      </c>
      <c r="E108" t="str">
        <f>TEXT(17059090000199,"00000000000000")</f>
        <v>17059090000199</v>
      </c>
      <c r="F108" t="s">
        <v>75</v>
      </c>
      <c r="G108" t="s">
        <v>14</v>
      </c>
      <c r="H108">
        <v>28061624</v>
      </c>
      <c r="I108" t="s">
        <v>92</v>
      </c>
      <c r="J108">
        <v>2</v>
      </c>
      <c r="K108">
        <v>76</v>
      </c>
    </row>
    <row r="109" spans="1:11" x14ac:dyDescent="0.3">
      <c r="A109">
        <v>2026</v>
      </c>
      <c r="B109">
        <v>1</v>
      </c>
      <c r="C109" t="s">
        <v>11</v>
      </c>
      <c r="D109" t="s">
        <v>74</v>
      </c>
      <c r="E109" t="str">
        <f>TEXT(17059090000199,"00000000000000")</f>
        <v>17059090000199</v>
      </c>
      <c r="F109" t="s">
        <v>75</v>
      </c>
      <c r="G109" t="s">
        <v>14</v>
      </c>
      <c r="H109">
        <v>28061659</v>
      </c>
      <c r="I109" t="s">
        <v>63</v>
      </c>
      <c r="J109">
        <v>1</v>
      </c>
      <c r="K109">
        <v>28.89</v>
      </c>
    </row>
    <row r="110" spans="1:11" x14ac:dyDescent="0.3">
      <c r="A110">
        <v>2026</v>
      </c>
      <c r="B110">
        <v>1</v>
      </c>
      <c r="C110" t="s">
        <v>11</v>
      </c>
      <c r="D110" t="s">
        <v>74</v>
      </c>
      <c r="E110" t="str">
        <f>TEXT(17059090000199,"00000000000000")</f>
        <v>17059090000199</v>
      </c>
      <c r="F110" t="s">
        <v>75</v>
      </c>
      <c r="G110" t="s">
        <v>14</v>
      </c>
      <c r="H110">
        <v>28062515</v>
      </c>
      <c r="I110" t="s">
        <v>66</v>
      </c>
      <c r="J110">
        <v>2</v>
      </c>
      <c r="K110">
        <v>76</v>
      </c>
    </row>
    <row r="111" spans="1:11" x14ac:dyDescent="0.3">
      <c r="A111">
        <v>2026</v>
      </c>
      <c r="B111">
        <v>1</v>
      </c>
      <c r="C111" t="s">
        <v>11</v>
      </c>
      <c r="D111" t="s">
        <v>74</v>
      </c>
      <c r="E111" t="str">
        <f>TEXT(17059090000199,"00000000000000")</f>
        <v>17059090000199</v>
      </c>
      <c r="F111" t="s">
        <v>75</v>
      </c>
      <c r="G111" t="s">
        <v>14</v>
      </c>
      <c r="H111">
        <v>28130367</v>
      </c>
      <c r="I111" t="s">
        <v>69</v>
      </c>
      <c r="J111">
        <v>8</v>
      </c>
      <c r="K111">
        <v>30.72</v>
      </c>
    </row>
    <row r="112" spans="1:11" x14ac:dyDescent="0.3">
      <c r="A112">
        <v>2026</v>
      </c>
      <c r="B112">
        <v>1</v>
      </c>
      <c r="C112" t="s">
        <v>11</v>
      </c>
      <c r="D112" t="s">
        <v>93</v>
      </c>
      <c r="E112" t="str">
        <f>TEXT(7931342000336,"00000000000000")</f>
        <v>07931342000336</v>
      </c>
      <c r="F112" t="s">
        <v>94</v>
      </c>
      <c r="G112" t="s">
        <v>14</v>
      </c>
      <c r="H112">
        <v>28010060</v>
      </c>
      <c r="I112" t="s">
        <v>95</v>
      </c>
      <c r="J112">
        <v>1</v>
      </c>
      <c r="K112">
        <v>3</v>
      </c>
    </row>
    <row r="113" spans="1:11" x14ac:dyDescent="0.3">
      <c r="A113">
        <v>2026</v>
      </c>
      <c r="B113">
        <v>1</v>
      </c>
      <c r="C113" t="s">
        <v>11</v>
      </c>
      <c r="D113" t="s">
        <v>93</v>
      </c>
      <c r="E113" t="str">
        <f>TEXT(7931342000336,"00000000000000")</f>
        <v>07931342000336</v>
      </c>
      <c r="F113" t="s">
        <v>94</v>
      </c>
      <c r="G113" t="s">
        <v>14</v>
      </c>
      <c r="H113">
        <v>28010175</v>
      </c>
      <c r="I113" t="s">
        <v>19</v>
      </c>
      <c r="J113">
        <v>5</v>
      </c>
      <c r="K113">
        <v>14.8</v>
      </c>
    </row>
    <row r="114" spans="1:11" x14ac:dyDescent="0.3">
      <c r="A114">
        <v>2026</v>
      </c>
      <c r="B114">
        <v>1</v>
      </c>
      <c r="C114" t="s">
        <v>11</v>
      </c>
      <c r="D114" t="s">
        <v>93</v>
      </c>
      <c r="E114" t="str">
        <f>TEXT(7931342000336,"00000000000000")</f>
        <v>07931342000336</v>
      </c>
      <c r="F114" t="s">
        <v>94</v>
      </c>
      <c r="G114" t="s">
        <v>14</v>
      </c>
      <c r="H114">
        <v>28010213</v>
      </c>
      <c r="I114" t="s">
        <v>96</v>
      </c>
      <c r="J114">
        <v>1</v>
      </c>
      <c r="K114">
        <v>8.64</v>
      </c>
    </row>
    <row r="115" spans="1:11" x14ac:dyDescent="0.3">
      <c r="A115">
        <v>2026</v>
      </c>
      <c r="B115">
        <v>1</v>
      </c>
      <c r="C115" t="s">
        <v>11</v>
      </c>
      <c r="D115" t="s">
        <v>93</v>
      </c>
      <c r="E115" t="str">
        <f>TEXT(7931342000336,"00000000000000")</f>
        <v>07931342000336</v>
      </c>
      <c r="F115" t="s">
        <v>94</v>
      </c>
      <c r="G115" t="s">
        <v>14</v>
      </c>
      <c r="H115">
        <v>28010256</v>
      </c>
      <c r="I115" t="s">
        <v>76</v>
      </c>
      <c r="J115">
        <v>3</v>
      </c>
      <c r="K115">
        <v>11.52</v>
      </c>
    </row>
    <row r="116" spans="1:11" x14ac:dyDescent="0.3">
      <c r="A116">
        <v>2026</v>
      </c>
      <c r="B116">
        <v>1</v>
      </c>
      <c r="C116" t="s">
        <v>11</v>
      </c>
      <c r="D116" t="s">
        <v>93</v>
      </c>
      <c r="E116" t="str">
        <f>TEXT(7931342000336,"00000000000000")</f>
        <v>07931342000336</v>
      </c>
      <c r="F116" t="s">
        <v>94</v>
      </c>
      <c r="G116" t="s">
        <v>14</v>
      </c>
      <c r="H116">
        <v>28010299</v>
      </c>
      <c r="I116" t="s">
        <v>20</v>
      </c>
      <c r="J116">
        <v>7</v>
      </c>
      <c r="K116">
        <v>29.96</v>
      </c>
    </row>
    <row r="117" spans="1:11" x14ac:dyDescent="0.3">
      <c r="A117">
        <v>2026</v>
      </c>
      <c r="B117">
        <v>1</v>
      </c>
      <c r="C117" t="s">
        <v>11</v>
      </c>
      <c r="D117" t="s">
        <v>93</v>
      </c>
      <c r="E117" t="str">
        <f>TEXT(7931342000336,"00000000000000")</f>
        <v>07931342000336</v>
      </c>
      <c r="F117" t="s">
        <v>94</v>
      </c>
      <c r="G117" t="s">
        <v>14</v>
      </c>
      <c r="H117">
        <v>28010329</v>
      </c>
      <c r="I117" t="s">
        <v>21</v>
      </c>
      <c r="J117">
        <v>6</v>
      </c>
      <c r="K117">
        <v>17.760000000000002</v>
      </c>
    </row>
    <row r="118" spans="1:11" x14ac:dyDescent="0.3">
      <c r="A118">
        <v>2026</v>
      </c>
      <c r="B118">
        <v>1</v>
      </c>
      <c r="C118" t="s">
        <v>11</v>
      </c>
      <c r="D118" t="s">
        <v>93</v>
      </c>
      <c r="E118" t="str">
        <f>TEXT(7931342000336,"00000000000000")</f>
        <v>07931342000336</v>
      </c>
      <c r="F118" t="s">
        <v>94</v>
      </c>
      <c r="G118" t="s">
        <v>14</v>
      </c>
      <c r="H118">
        <v>28010345</v>
      </c>
      <c r="I118" t="s">
        <v>97</v>
      </c>
      <c r="J118">
        <v>1</v>
      </c>
      <c r="K118">
        <v>3</v>
      </c>
    </row>
    <row r="119" spans="1:11" x14ac:dyDescent="0.3">
      <c r="A119">
        <v>2026</v>
      </c>
      <c r="B119">
        <v>1</v>
      </c>
      <c r="C119" t="s">
        <v>11</v>
      </c>
      <c r="D119" t="s">
        <v>93</v>
      </c>
      <c r="E119" t="str">
        <f>TEXT(7931342000336,"00000000000000")</f>
        <v>07931342000336</v>
      </c>
      <c r="F119" t="s">
        <v>94</v>
      </c>
      <c r="G119" t="s">
        <v>14</v>
      </c>
      <c r="H119">
        <v>28010507</v>
      </c>
      <c r="I119" t="s">
        <v>77</v>
      </c>
      <c r="J119">
        <v>18</v>
      </c>
      <c r="K119">
        <v>54</v>
      </c>
    </row>
    <row r="120" spans="1:11" x14ac:dyDescent="0.3">
      <c r="A120">
        <v>2026</v>
      </c>
      <c r="B120">
        <v>1</v>
      </c>
      <c r="C120" t="s">
        <v>11</v>
      </c>
      <c r="D120" t="s">
        <v>93</v>
      </c>
      <c r="E120" t="str">
        <f>TEXT(7931342000336,"00000000000000")</f>
        <v>07931342000336</v>
      </c>
      <c r="F120" t="s">
        <v>94</v>
      </c>
      <c r="G120" t="s">
        <v>14</v>
      </c>
      <c r="H120">
        <v>28010540</v>
      </c>
      <c r="I120" t="s">
        <v>23</v>
      </c>
      <c r="J120">
        <v>18</v>
      </c>
      <c r="K120">
        <v>54</v>
      </c>
    </row>
    <row r="121" spans="1:11" x14ac:dyDescent="0.3">
      <c r="A121">
        <v>2026</v>
      </c>
      <c r="B121">
        <v>1</v>
      </c>
      <c r="C121" t="s">
        <v>11</v>
      </c>
      <c r="D121" t="s">
        <v>93</v>
      </c>
      <c r="E121" t="str">
        <f>TEXT(7931342000336,"00000000000000")</f>
        <v>07931342000336</v>
      </c>
      <c r="F121" t="s">
        <v>94</v>
      </c>
      <c r="G121" t="s">
        <v>14</v>
      </c>
      <c r="H121">
        <v>28010795</v>
      </c>
      <c r="I121" t="s">
        <v>24</v>
      </c>
      <c r="J121">
        <v>13</v>
      </c>
      <c r="K121">
        <v>359.84</v>
      </c>
    </row>
    <row r="122" spans="1:11" x14ac:dyDescent="0.3">
      <c r="A122">
        <v>2026</v>
      </c>
      <c r="B122">
        <v>1</v>
      </c>
      <c r="C122" t="s">
        <v>11</v>
      </c>
      <c r="D122" t="s">
        <v>93</v>
      </c>
      <c r="E122" t="str">
        <f>TEXT(7931342000336,"00000000000000")</f>
        <v>07931342000336</v>
      </c>
      <c r="F122" t="s">
        <v>94</v>
      </c>
      <c r="G122" t="s">
        <v>14</v>
      </c>
      <c r="H122">
        <v>28010809</v>
      </c>
      <c r="I122" t="s">
        <v>25</v>
      </c>
      <c r="J122">
        <v>9</v>
      </c>
      <c r="K122">
        <v>36</v>
      </c>
    </row>
    <row r="123" spans="1:11" x14ac:dyDescent="0.3">
      <c r="A123">
        <v>2026</v>
      </c>
      <c r="B123">
        <v>1</v>
      </c>
      <c r="C123" t="s">
        <v>11</v>
      </c>
      <c r="D123" t="s">
        <v>93</v>
      </c>
      <c r="E123" t="str">
        <f>TEXT(7931342000336,"00000000000000")</f>
        <v>07931342000336</v>
      </c>
      <c r="F123" t="s">
        <v>94</v>
      </c>
      <c r="G123" t="s">
        <v>14</v>
      </c>
      <c r="H123">
        <v>28010850</v>
      </c>
      <c r="I123" t="s">
        <v>26</v>
      </c>
      <c r="J123">
        <v>7</v>
      </c>
      <c r="K123">
        <v>26.88</v>
      </c>
    </row>
    <row r="124" spans="1:11" x14ac:dyDescent="0.3">
      <c r="A124">
        <v>2026</v>
      </c>
      <c r="B124">
        <v>1</v>
      </c>
      <c r="C124" t="s">
        <v>11</v>
      </c>
      <c r="D124" t="s">
        <v>93</v>
      </c>
      <c r="E124" t="str">
        <f>TEXT(7931342000336,"00000000000000")</f>
        <v>07931342000336</v>
      </c>
      <c r="F124" t="s">
        <v>94</v>
      </c>
      <c r="G124" t="s">
        <v>14</v>
      </c>
      <c r="H124">
        <v>28010892</v>
      </c>
      <c r="I124" t="s">
        <v>27</v>
      </c>
      <c r="J124">
        <v>1</v>
      </c>
      <c r="K124">
        <v>3</v>
      </c>
    </row>
    <row r="125" spans="1:11" x14ac:dyDescent="0.3">
      <c r="A125">
        <v>2026</v>
      </c>
      <c r="B125">
        <v>1</v>
      </c>
      <c r="C125" t="s">
        <v>11</v>
      </c>
      <c r="D125" t="s">
        <v>93</v>
      </c>
      <c r="E125" t="str">
        <f>TEXT(7931342000336,"00000000000000")</f>
        <v>07931342000336</v>
      </c>
      <c r="F125" t="s">
        <v>94</v>
      </c>
      <c r="G125" t="s">
        <v>14</v>
      </c>
      <c r="H125">
        <v>28010957</v>
      </c>
      <c r="I125" t="s">
        <v>28</v>
      </c>
      <c r="J125">
        <v>9</v>
      </c>
      <c r="K125">
        <v>38.159999999999997</v>
      </c>
    </row>
    <row r="126" spans="1:11" x14ac:dyDescent="0.3">
      <c r="A126">
        <v>2026</v>
      </c>
      <c r="B126">
        <v>1</v>
      </c>
      <c r="C126" t="s">
        <v>11</v>
      </c>
      <c r="D126" t="s">
        <v>93</v>
      </c>
      <c r="E126" t="str">
        <f>TEXT(7931342000336,"00000000000000")</f>
        <v>07931342000336</v>
      </c>
      <c r="F126" t="s">
        <v>94</v>
      </c>
      <c r="G126" t="s">
        <v>14</v>
      </c>
      <c r="H126">
        <v>28010973</v>
      </c>
      <c r="I126" t="s">
        <v>29</v>
      </c>
      <c r="J126">
        <v>19</v>
      </c>
      <c r="K126">
        <v>57</v>
      </c>
    </row>
    <row r="127" spans="1:11" x14ac:dyDescent="0.3">
      <c r="A127">
        <v>2026</v>
      </c>
      <c r="B127">
        <v>1</v>
      </c>
      <c r="C127" t="s">
        <v>11</v>
      </c>
      <c r="D127" t="s">
        <v>93</v>
      </c>
      <c r="E127" t="str">
        <f>TEXT(7931342000336,"00000000000000")</f>
        <v>07931342000336</v>
      </c>
      <c r="F127" t="s">
        <v>94</v>
      </c>
      <c r="G127" t="s">
        <v>14</v>
      </c>
      <c r="H127">
        <v>28011023</v>
      </c>
      <c r="I127" t="s">
        <v>30</v>
      </c>
      <c r="J127">
        <v>20</v>
      </c>
      <c r="K127">
        <v>240</v>
      </c>
    </row>
    <row r="128" spans="1:11" x14ac:dyDescent="0.3">
      <c r="A128">
        <v>2026</v>
      </c>
      <c r="B128">
        <v>1</v>
      </c>
      <c r="C128" t="s">
        <v>11</v>
      </c>
      <c r="D128" t="s">
        <v>93</v>
      </c>
      <c r="E128" t="str">
        <f>TEXT(7931342000336,"00000000000000")</f>
        <v>07931342000336</v>
      </c>
      <c r="F128" t="s">
        <v>94</v>
      </c>
      <c r="G128" t="s">
        <v>14</v>
      </c>
      <c r="H128">
        <v>28011082</v>
      </c>
      <c r="I128" t="s">
        <v>79</v>
      </c>
      <c r="J128">
        <v>2</v>
      </c>
      <c r="K128">
        <v>8.64</v>
      </c>
    </row>
    <row r="129" spans="1:11" x14ac:dyDescent="0.3">
      <c r="A129">
        <v>2026</v>
      </c>
      <c r="B129">
        <v>1</v>
      </c>
      <c r="C129" t="s">
        <v>11</v>
      </c>
      <c r="D129" t="s">
        <v>93</v>
      </c>
      <c r="E129" t="str">
        <f>TEXT(7931342000336,"00000000000000")</f>
        <v>07931342000336</v>
      </c>
      <c r="F129" t="s">
        <v>94</v>
      </c>
      <c r="G129" t="s">
        <v>14</v>
      </c>
      <c r="H129">
        <v>28011120</v>
      </c>
      <c r="I129" t="s">
        <v>32</v>
      </c>
      <c r="J129">
        <v>3</v>
      </c>
      <c r="K129">
        <v>10.199999999999999</v>
      </c>
    </row>
    <row r="130" spans="1:11" x14ac:dyDescent="0.3">
      <c r="A130">
        <v>2026</v>
      </c>
      <c r="B130">
        <v>1</v>
      </c>
      <c r="C130" t="s">
        <v>11</v>
      </c>
      <c r="D130" t="s">
        <v>93</v>
      </c>
      <c r="E130" t="str">
        <f>TEXT(7931342000336,"00000000000000")</f>
        <v>07931342000336</v>
      </c>
      <c r="F130" t="s">
        <v>94</v>
      </c>
      <c r="G130" t="s">
        <v>14</v>
      </c>
      <c r="H130">
        <v>28011210</v>
      </c>
      <c r="I130" t="s">
        <v>34</v>
      </c>
      <c r="J130">
        <v>6</v>
      </c>
      <c r="K130">
        <v>17.760000000000002</v>
      </c>
    </row>
    <row r="131" spans="1:11" x14ac:dyDescent="0.3">
      <c r="A131">
        <v>2026</v>
      </c>
      <c r="B131">
        <v>1</v>
      </c>
      <c r="C131" t="s">
        <v>11</v>
      </c>
      <c r="D131" t="s">
        <v>93</v>
      </c>
      <c r="E131" t="str">
        <f>TEXT(7931342000336,"00000000000000")</f>
        <v>07931342000336</v>
      </c>
      <c r="F131" t="s">
        <v>94</v>
      </c>
      <c r="G131" t="s">
        <v>14</v>
      </c>
      <c r="H131">
        <v>28011244</v>
      </c>
      <c r="I131" t="s">
        <v>98</v>
      </c>
      <c r="J131">
        <v>1</v>
      </c>
      <c r="K131">
        <v>6</v>
      </c>
    </row>
    <row r="132" spans="1:11" x14ac:dyDescent="0.3">
      <c r="A132">
        <v>2026</v>
      </c>
      <c r="B132">
        <v>1</v>
      </c>
      <c r="C132" t="s">
        <v>11</v>
      </c>
      <c r="D132" t="s">
        <v>93</v>
      </c>
      <c r="E132" t="str">
        <f>TEXT(7931342000336,"00000000000000")</f>
        <v>07931342000336</v>
      </c>
      <c r="F132" t="s">
        <v>94</v>
      </c>
      <c r="G132" t="s">
        <v>14</v>
      </c>
      <c r="H132">
        <v>28011279</v>
      </c>
      <c r="I132" t="s">
        <v>36</v>
      </c>
      <c r="J132">
        <v>6</v>
      </c>
      <c r="K132">
        <v>17.760000000000002</v>
      </c>
    </row>
    <row r="133" spans="1:11" x14ac:dyDescent="0.3">
      <c r="A133">
        <v>2026</v>
      </c>
      <c r="B133">
        <v>1</v>
      </c>
      <c r="C133" t="s">
        <v>11</v>
      </c>
      <c r="D133" t="s">
        <v>93</v>
      </c>
      <c r="E133" t="str">
        <f>TEXT(7931342000336,"00000000000000")</f>
        <v>07931342000336</v>
      </c>
      <c r="F133" t="s">
        <v>94</v>
      </c>
      <c r="G133" t="s">
        <v>14</v>
      </c>
      <c r="H133">
        <v>28011368</v>
      </c>
      <c r="I133" t="s">
        <v>37</v>
      </c>
      <c r="J133">
        <v>16</v>
      </c>
      <c r="K133">
        <v>48</v>
      </c>
    </row>
    <row r="134" spans="1:11" x14ac:dyDescent="0.3">
      <c r="A134">
        <v>2026</v>
      </c>
      <c r="B134">
        <v>1</v>
      </c>
      <c r="C134" t="s">
        <v>11</v>
      </c>
      <c r="D134" t="s">
        <v>93</v>
      </c>
      <c r="E134" t="str">
        <f>TEXT(7931342000336,"00000000000000")</f>
        <v>07931342000336</v>
      </c>
      <c r="F134" t="s">
        <v>94</v>
      </c>
      <c r="G134" t="s">
        <v>14</v>
      </c>
      <c r="H134">
        <v>28011376</v>
      </c>
      <c r="I134" t="s">
        <v>38</v>
      </c>
      <c r="J134">
        <v>16</v>
      </c>
      <c r="K134">
        <v>48</v>
      </c>
    </row>
    <row r="135" spans="1:11" x14ac:dyDescent="0.3">
      <c r="A135">
        <v>2026</v>
      </c>
      <c r="B135">
        <v>1</v>
      </c>
      <c r="C135" t="s">
        <v>11</v>
      </c>
      <c r="D135" t="s">
        <v>93</v>
      </c>
      <c r="E135" t="str">
        <f>TEXT(7931342000336,"00000000000000")</f>
        <v>07931342000336</v>
      </c>
      <c r="F135" t="s">
        <v>94</v>
      </c>
      <c r="G135" t="s">
        <v>14</v>
      </c>
      <c r="H135">
        <v>28011384</v>
      </c>
      <c r="I135" t="s">
        <v>99</v>
      </c>
      <c r="J135">
        <v>3</v>
      </c>
      <c r="K135">
        <v>38.4</v>
      </c>
    </row>
    <row r="136" spans="1:11" x14ac:dyDescent="0.3">
      <c r="A136">
        <v>2026</v>
      </c>
      <c r="B136">
        <v>1</v>
      </c>
      <c r="C136" t="s">
        <v>11</v>
      </c>
      <c r="D136" t="s">
        <v>93</v>
      </c>
      <c r="E136" t="str">
        <f>TEXT(7931342000336,"00000000000000")</f>
        <v>07931342000336</v>
      </c>
      <c r="F136" t="s">
        <v>94</v>
      </c>
      <c r="G136" t="s">
        <v>14</v>
      </c>
      <c r="H136">
        <v>28011414</v>
      </c>
      <c r="I136" t="s">
        <v>39</v>
      </c>
      <c r="J136">
        <v>17</v>
      </c>
      <c r="K136">
        <v>51</v>
      </c>
    </row>
    <row r="137" spans="1:11" x14ac:dyDescent="0.3">
      <c r="A137">
        <v>2026</v>
      </c>
      <c r="B137">
        <v>1</v>
      </c>
      <c r="C137" t="s">
        <v>11</v>
      </c>
      <c r="D137" t="s">
        <v>93</v>
      </c>
      <c r="E137" t="str">
        <f>TEXT(7931342000336,"00000000000000")</f>
        <v>07931342000336</v>
      </c>
      <c r="F137" t="s">
        <v>94</v>
      </c>
      <c r="G137" t="s">
        <v>14</v>
      </c>
      <c r="H137">
        <v>28011449</v>
      </c>
      <c r="I137" t="s">
        <v>40</v>
      </c>
      <c r="J137">
        <v>18</v>
      </c>
      <c r="K137">
        <v>345.6</v>
      </c>
    </row>
    <row r="138" spans="1:11" x14ac:dyDescent="0.3">
      <c r="A138">
        <v>2026</v>
      </c>
      <c r="B138">
        <v>1</v>
      </c>
      <c r="C138" t="s">
        <v>11</v>
      </c>
      <c r="D138" t="s">
        <v>93</v>
      </c>
      <c r="E138" t="str">
        <f>TEXT(7931342000336,"00000000000000")</f>
        <v>07931342000336</v>
      </c>
      <c r="F138" t="s">
        <v>94</v>
      </c>
      <c r="G138" t="s">
        <v>14</v>
      </c>
      <c r="H138">
        <v>28011805</v>
      </c>
      <c r="I138" t="s">
        <v>81</v>
      </c>
      <c r="J138">
        <v>21</v>
      </c>
      <c r="K138">
        <v>302.39999999999998</v>
      </c>
    </row>
    <row r="139" spans="1:11" x14ac:dyDescent="0.3">
      <c r="A139">
        <v>2026</v>
      </c>
      <c r="B139">
        <v>1</v>
      </c>
      <c r="C139" t="s">
        <v>11</v>
      </c>
      <c r="D139" t="s">
        <v>93</v>
      </c>
      <c r="E139" t="str">
        <f>TEXT(7931342000336,"00000000000000")</f>
        <v>07931342000336</v>
      </c>
      <c r="F139" t="s">
        <v>94</v>
      </c>
      <c r="G139" t="s">
        <v>14</v>
      </c>
      <c r="H139">
        <v>28030141</v>
      </c>
      <c r="I139" t="s">
        <v>41</v>
      </c>
      <c r="J139">
        <v>6</v>
      </c>
      <c r="K139">
        <v>25.68</v>
      </c>
    </row>
    <row r="140" spans="1:11" x14ac:dyDescent="0.3">
      <c r="A140">
        <v>2026</v>
      </c>
      <c r="B140">
        <v>1</v>
      </c>
      <c r="C140" t="s">
        <v>11</v>
      </c>
      <c r="D140" t="s">
        <v>93</v>
      </c>
      <c r="E140" t="str">
        <f>TEXT(7931342000336,"00000000000000")</f>
        <v>07931342000336</v>
      </c>
      <c r="F140" t="s">
        <v>94</v>
      </c>
      <c r="G140" t="s">
        <v>14</v>
      </c>
      <c r="H140">
        <v>28040139</v>
      </c>
      <c r="I140" t="s">
        <v>82</v>
      </c>
      <c r="J140">
        <v>2</v>
      </c>
      <c r="K140">
        <v>28.8</v>
      </c>
    </row>
    <row r="141" spans="1:11" x14ac:dyDescent="0.3">
      <c r="A141">
        <v>2026</v>
      </c>
      <c r="B141">
        <v>1</v>
      </c>
      <c r="C141" t="s">
        <v>11</v>
      </c>
      <c r="D141" t="s">
        <v>93</v>
      </c>
      <c r="E141" t="str">
        <f>TEXT(7931342000336,"00000000000000")</f>
        <v>07931342000336</v>
      </c>
      <c r="F141" t="s">
        <v>94</v>
      </c>
      <c r="G141" t="s">
        <v>14</v>
      </c>
      <c r="H141">
        <v>28040481</v>
      </c>
      <c r="I141" t="s">
        <v>42</v>
      </c>
      <c r="J141">
        <v>23</v>
      </c>
      <c r="K141">
        <v>147.19999999999999</v>
      </c>
    </row>
    <row r="142" spans="1:11" x14ac:dyDescent="0.3">
      <c r="A142">
        <v>2026</v>
      </c>
      <c r="B142">
        <v>1</v>
      </c>
      <c r="C142" t="s">
        <v>11</v>
      </c>
      <c r="D142" t="s">
        <v>93</v>
      </c>
      <c r="E142" t="str">
        <f>TEXT(7931342000336,"00000000000000")</f>
        <v>07931342000336</v>
      </c>
      <c r="F142" t="s">
        <v>94</v>
      </c>
      <c r="G142" t="s">
        <v>14</v>
      </c>
      <c r="H142">
        <v>28040490</v>
      </c>
      <c r="I142" t="s">
        <v>43</v>
      </c>
      <c r="J142">
        <v>2</v>
      </c>
      <c r="K142">
        <v>4.24</v>
      </c>
    </row>
    <row r="143" spans="1:11" x14ac:dyDescent="0.3">
      <c r="A143">
        <v>2026</v>
      </c>
      <c r="B143">
        <v>1</v>
      </c>
      <c r="C143" t="s">
        <v>11</v>
      </c>
      <c r="D143" t="s">
        <v>93</v>
      </c>
      <c r="E143" t="str">
        <f>TEXT(7931342000336,"00000000000000")</f>
        <v>07931342000336</v>
      </c>
      <c r="F143" t="s">
        <v>94</v>
      </c>
      <c r="G143" t="s">
        <v>14</v>
      </c>
      <c r="H143">
        <v>28040732</v>
      </c>
      <c r="I143" t="s">
        <v>100</v>
      </c>
      <c r="J143">
        <v>3</v>
      </c>
      <c r="K143">
        <v>11.52</v>
      </c>
    </row>
    <row r="144" spans="1:11" x14ac:dyDescent="0.3">
      <c r="A144">
        <v>2026</v>
      </c>
      <c r="B144">
        <v>1</v>
      </c>
      <c r="C144" t="s">
        <v>11</v>
      </c>
      <c r="D144" t="s">
        <v>93</v>
      </c>
      <c r="E144" t="str">
        <f>TEXT(7931342000336,"00000000000000")</f>
        <v>07931342000336</v>
      </c>
      <c r="F144" t="s">
        <v>94</v>
      </c>
      <c r="G144" t="s">
        <v>14</v>
      </c>
      <c r="H144">
        <v>28050142</v>
      </c>
      <c r="I144" t="s">
        <v>44</v>
      </c>
      <c r="J144">
        <v>3</v>
      </c>
      <c r="K144">
        <v>51.36</v>
      </c>
    </row>
    <row r="145" spans="1:11" x14ac:dyDescent="0.3">
      <c r="A145">
        <v>2026</v>
      </c>
      <c r="B145">
        <v>1</v>
      </c>
      <c r="C145" t="s">
        <v>11</v>
      </c>
      <c r="D145" t="s">
        <v>93</v>
      </c>
      <c r="E145" t="str">
        <f>TEXT(7931342000336,"00000000000000")</f>
        <v>07931342000336</v>
      </c>
      <c r="F145" t="s">
        <v>94</v>
      </c>
      <c r="G145" t="s">
        <v>14</v>
      </c>
      <c r="H145">
        <v>28050223</v>
      </c>
      <c r="I145" t="s">
        <v>101</v>
      </c>
      <c r="J145">
        <v>1</v>
      </c>
      <c r="K145">
        <v>23.36</v>
      </c>
    </row>
    <row r="146" spans="1:11" x14ac:dyDescent="0.3">
      <c r="A146">
        <v>2026</v>
      </c>
      <c r="B146">
        <v>1</v>
      </c>
      <c r="C146" t="s">
        <v>11</v>
      </c>
      <c r="D146" t="s">
        <v>93</v>
      </c>
      <c r="E146" t="str">
        <f>TEXT(7931342000336,"00000000000000")</f>
        <v>07931342000336</v>
      </c>
      <c r="F146" t="s">
        <v>94</v>
      </c>
      <c r="G146" t="s">
        <v>14</v>
      </c>
      <c r="H146">
        <v>28050231</v>
      </c>
      <c r="I146" t="s">
        <v>102</v>
      </c>
      <c r="J146">
        <v>1</v>
      </c>
      <c r="K146">
        <v>25.43</v>
      </c>
    </row>
    <row r="147" spans="1:11" x14ac:dyDescent="0.3">
      <c r="A147">
        <v>2026</v>
      </c>
      <c r="B147">
        <v>1</v>
      </c>
      <c r="C147" t="s">
        <v>11</v>
      </c>
      <c r="D147" t="s">
        <v>93</v>
      </c>
      <c r="E147" t="str">
        <f>TEXT(7931342000336,"00000000000000")</f>
        <v>07931342000336</v>
      </c>
      <c r="F147" t="s">
        <v>94</v>
      </c>
      <c r="G147" t="s">
        <v>14</v>
      </c>
      <c r="H147">
        <v>28050240</v>
      </c>
      <c r="I147" t="s">
        <v>45</v>
      </c>
      <c r="J147">
        <v>7</v>
      </c>
      <c r="K147">
        <v>156.80000000000001</v>
      </c>
    </row>
    <row r="148" spans="1:11" x14ac:dyDescent="0.3">
      <c r="A148">
        <v>2026</v>
      </c>
      <c r="B148">
        <v>1</v>
      </c>
      <c r="C148" t="s">
        <v>11</v>
      </c>
      <c r="D148" t="s">
        <v>93</v>
      </c>
      <c r="E148" t="str">
        <f>TEXT(7931342000336,"00000000000000")</f>
        <v>07931342000336</v>
      </c>
      <c r="F148" t="s">
        <v>94</v>
      </c>
      <c r="G148" t="s">
        <v>14</v>
      </c>
      <c r="H148">
        <v>28050312</v>
      </c>
      <c r="I148" t="s">
        <v>46</v>
      </c>
      <c r="J148">
        <v>7</v>
      </c>
      <c r="K148">
        <v>112</v>
      </c>
    </row>
    <row r="149" spans="1:11" x14ac:dyDescent="0.3">
      <c r="A149">
        <v>2026</v>
      </c>
      <c r="B149">
        <v>1</v>
      </c>
      <c r="C149" t="s">
        <v>11</v>
      </c>
      <c r="D149" t="s">
        <v>93</v>
      </c>
      <c r="E149" t="str">
        <f>TEXT(7931342000336,"00000000000000")</f>
        <v>07931342000336</v>
      </c>
      <c r="F149" t="s">
        <v>94</v>
      </c>
      <c r="G149" t="s">
        <v>14</v>
      </c>
      <c r="H149">
        <v>28050347</v>
      </c>
      <c r="I149" t="s">
        <v>103</v>
      </c>
      <c r="J149">
        <v>1</v>
      </c>
      <c r="K149">
        <v>13</v>
      </c>
    </row>
    <row r="150" spans="1:11" x14ac:dyDescent="0.3">
      <c r="A150">
        <v>2026</v>
      </c>
      <c r="B150">
        <v>1</v>
      </c>
      <c r="C150" t="s">
        <v>11</v>
      </c>
      <c r="D150" t="s">
        <v>93</v>
      </c>
      <c r="E150" t="str">
        <f>TEXT(7931342000336,"00000000000000")</f>
        <v>07931342000336</v>
      </c>
      <c r="F150" t="s">
        <v>94</v>
      </c>
      <c r="G150" t="s">
        <v>14</v>
      </c>
      <c r="H150">
        <v>28050355</v>
      </c>
      <c r="I150" t="s">
        <v>47</v>
      </c>
      <c r="J150">
        <v>5</v>
      </c>
      <c r="K150">
        <v>64</v>
      </c>
    </row>
    <row r="151" spans="1:11" x14ac:dyDescent="0.3">
      <c r="A151">
        <v>2026</v>
      </c>
      <c r="B151">
        <v>1</v>
      </c>
      <c r="C151" t="s">
        <v>11</v>
      </c>
      <c r="D151" t="s">
        <v>93</v>
      </c>
      <c r="E151" t="str">
        <f>TEXT(7931342000336,"00000000000000")</f>
        <v>07931342000336</v>
      </c>
      <c r="F151" t="s">
        <v>94</v>
      </c>
      <c r="G151" t="s">
        <v>14</v>
      </c>
      <c r="H151">
        <v>28050380</v>
      </c>
      <c r="I151" t="s">
        <v>48</v>
      </c>
      <c r="J151">
        <v>6</v>
      </c>
      <c r="K151">
        <v>96</v>
      </c>
    </row>
    <row r="152" spans="1:11" x14ac:dyDescent="0.3">
      <c r="A152">
        <v>2026</v>
      </c>
      <c r="B152">
        <v>1</v>
      </c>
      <c r="C152" t="s">
        <v>11</v>
      </c>
      <c r="D152" t="s">
        <v>93</v>
      </c>
      <c r="E152" t="str">
        <f>TEXT(7931342000336,"00000000000000")</f>
        <v>07931342000336</v>
      </c>
      <c r="F152" t="s">
        <v>94</v>
      </c>
      <c r="G152" t="s">
        <v>14</v>
      </c>
      <c r="H152">
        <v>28050436</v>
      </c>
      <c r="I152" t="s">
        <v>104</v>
      </c>
      <c r="J152">
        <v>2</v>
      </c>
      <c r="K152">
        <v>44.8</v>
      </c>
    </row>
    <row r="153" spans="1:11" x14ac:dyDescent="0.3">
      <c r="A153">
        <v>2026</v>
      </c>
      <c r="B153">
        <v>1</v>
      </c>
      <c r="C153" t="s">
        <v>11</v>
      </c>
      <c r="D153" t="s">
        <v>93</v>
      </c>
      <c r="E153" t="str">
        <f>TEXT(7931342000336,"00000000000000")</f>
        <v>07931342000336</v>
      </c>
      <c r="F153" t="s">
        <v>94</v>
      </c>
      <c r="G153" t="s">
        <v>14</v>
      </c>
      <c r="H153">
        <v>28050690</v>
      </c>
      <c r="I153" t="s">
        <v>49</v>
      </c>
      <c r="J153">
        <v>14</v>
      </c>
      <c r="K153">
        <v>324.8</v>
      </c>
    </row>
    <row r="154" spans="1:11" x14ac:dyDescent="0.3">
      <c r="A154">
        <v>2026</v>
      </c>
      <c r="B154">
        <v>1</v>
      </c>
      <c r="C154" t="s">
        <v>11</v>
      </c>
      <c r="D154" t="s">
        <v>93</v>
      </c>
      <c r="E154" t="str">
        <f>TEXT(7931342000336,"00000000000000")</f>
        <v>07931342000336</v>
      </c>
      <c r="F154" t="s">
        <v>94</v>
      </c>
      <c r="G154" t="s">
        <v>14</v>
      </c>
      <c r="H154">
        <v>28050703</v>
      </c>
      <c r="I154" t="s">
        <v>50</v>
      </c>
      <c r="J154">
        <v>21</v>
      </c>
      <c r="K154">
        <v>403.2</v>
      </c>
    </row>
    <row r="155" spans="1:11" x14ac:dyDescent="0.3">
      <c r="A155">
        <v>2026</v>
      </c>
      <c r="B155">
        <v>1</v>
      </c>
      <c r="C155" t="s">
        <v>11</v>
      </c>
      <c r="D155" t="s">
        <v>93</v>
      </c>
      <c r="E155" t="str">
        <f>TEXT(7931342000336,"00000000000000")</f>
        <v>07931342000336</v>
      </c>
      <c r="F155" t="s">
        <v>94</v>
      </c>
      <c r="G155" t="s">
        <v>14</v>
      </c>
      <c r="H155">
        <v>28050720</v>
      </c>
      <c r="I155" t="s">
        <v>51</v>
      </c>
      <c r="J155">
        <v>20</v>
      </c>
      <c r="K155">
        <v>299.2</v>
      </c>
    </row>
    <row r="156" spans="1:11" x14ac:dyDescent="0.3">
      <c r="A156">
        <v>2026</v>
      </c>
      <c r="B156">
        <v>1</v>
      </c>
      <c r="C156" t="s">
        <v>11</v>
      </c>
      <c r="D156" t="s">
        <v>93</v>
      </c>
      <c r="E156" t="str">
        <f>TEXT(7931342000336,"00000000000000")</f>
        <v>07931342000336</v>
      </c>
      <c r="F156" t="s">
        <v>94</v>
      </c>
      <c r="G156" t="s">
        <v>14</v>
      </c>
      <c r="H156">
        <v>28050738</v>
      </c>
      <c r="I156" t="s">
        <v>105</v>
      </c>
      <c r="J156">
        <v>5</v>
      </c>
      <c r="K156">
        <v>74.8</v>
      </c>
    </row>
    <row r="157" spans="1:11" x14ac:dyDescent="0.3">
      <c r="A157">
        <v>2026</v>
      </c>
      <c r="B157">
        <v>1</v>
      </c>
      <c r="C157" t="s">
        <v>11</v>
      </c>
      <c r="D157" t="s">
        <v>93</v>
      </c>
      <c r="E157" t="str">
        <f>TEXT(7931342000336,"00000000000000")</f>
        <v>07931342000336</v>
      </c>
      <c r="F157" t="s">
        <v>94</v>
      </c>
      <c r="G157" t="s">
        <v>14</v>
      </c>
      <c r="H157">
        <v>28050770</v>
      </c>
      <c r="I157" t="s">
        <v>53</v>
      </c>
      <c r="J157">
        <v>10</v>
      </c>
      <c r="K157">
        <v>320</v>
      </c>
    </row>
    <row r="158" spans="1:11" x14ac:dyDescent="0.3">
      <c r="A158">
        <v>2026</v>
      </c>
      <c r="B158">
        <v>1</v>
      </c>
      <c r="C158" t="s">
        <v>11</v>
      </c>
      <c r="D158" t="s">
        <v>93</v>
      </c>
      <c r="E158" t="str">
        <f>TEXT(7931342000336,"00000000000000")</f>
        <v>07931342000336</v>
      </c>
      <c r="F158" t="s">
        <v>94</v>
      </c>
      <c r="G158" t="s">
        <v>14</v>
      </c>
      <c r="H158">
        <v>28050827</v>
      </c>
      <c r="I158" t="s">
        <v>55</v>
      </c>
      <c r="J158">
        <v>3</v>
      </c>
      <c r="K158">
        <v>44.88</v>
      </c>
    </row>
    <row r="159" spans="1:11" x14ac:dyDescent="0.3">
      <c r="A159">
        <v>2026</v>
      </c>
      <c r="B159">
        <v>1</v>
      </c>
      <c r="C159" t="s">
        <v>11</v>
      </c>
      <c r="D159" t="s">
        <v>93</v>
      </c>
      <c r="E159" t="str">
        <f>TEXT(7931342000336,"00000000000000")</f>
        <v>07931342000336</v>
      </c>
      <c r="F159" t="s">
        <v>94</v>
      </c>
      <c r="G159" t="s">
        <v>14</v>
      </c>
      <c r="H159">
        <v>28050991</v>
      </c>
      <c r="I159" t="s">
        <v>56</v>
      </c>
      <c r="J159">
        <v>17</v>
      </c>
      <c r="K159">
        <v>516.79999999999995</v>
      </c>
    </row>
    <row r="160" spans="1:11" x14ac:dyDescent="0.3">
      <c r="A160">
        <v>2026</v>
      </c>
      <c r="B160">
        <v>1</v>
      </c>
      <c r="C160" t="s">
        <v>11</v>
      </c>
      <c r="D160" t="s">
        <v>93</v>
      </c>
      <c r="E160" t="str">
        <f>TEXT(7931342000336,"00000000000000")</f>
        <v>07931342000336</v>
      </c>
      <c r="F160" t="s">
        <v>94</v>
      </c>
      <c r="G160" t="s">
        <v>14</v>
      </c>
      <c r="H160">
        <v>28060148</v>
      </c>
      <c r="I160" t="s">
        <v>106</v>
      </c>
      <c r="J160">
        <v>1</v>
      </c>
      <c r="K160">
        <v>8.48</v>
      </c>
    </row>
    <row r="161" spans="1:11" x14ac:dyDescent="0.3">
      <c r="A161">
        <v>2026</v>
      </c>
      <c r="B161">
        <v>1</v>
      </c>
      <c r="C161" t="s">
        <v>11</v>
      </c>
      <c r="D161" t="s">
        <v>93</v>
      </c>
      <c r="E161" t="str">
        <f>TEXT(7931342000336,"00000000000000")</f>
        <v>07931342000336</v>
      </c>
      <c r="F161" t="s">
        <v>94</v>
      </c>
      <c r="G161" t="s">
        <v>14</v>
      </c>
      <c r="H161">
        <v>28060180</v>
      </c>
      <c r="I161" t="s">
        <v>107</v>
      </c>
      <c r="J161">
        <v>1</v>
      </c>
      <c r="K161">
        <v>5.4</v>
      </c>
    </row>
    <row r="162" spans="1:11" x14ac:dyDescent="0.3">
      <c r="A162">
        <v>2026</v>
      </c>
      <c r="B162">
        <v>1</v>
      </c>
      <c r="C162" t="s">
        <v>11</v>
      </c>
      <c r="D162" t="s">
        <v>93</v>
      </c>
      <c r="E162" t="str">
        <f>TEXT(7931342000336,"00000000000000")</f>
        <v>07931342000336</v>
      </c>
      <c r="F162" t="s">
        <v>94</v>
      </c>
      <c r="G162" t="s">
        <v>14</v>
      </c>
      <c r="H162">
        <v>28060210</v>
      </c>
      <c r="I162" t="s">
        <v>58</v>
      </c>
      <c r="J162">
        <v>4</v>
      </c>
      <c r="K162">
        <v>60.8</v>
      </c>
    </row>
    <row r="163" spans="1:11" x14ac:dyDescent="0.3">
      <c r="A163">
        <v>2026</v>
      </c>
      <c r="B163">
        <v>1</v>
      </c>
      <c r="C163" t="s">
        <v>11</v>
      </c>
      <c r="D163" t="s">
        <v>93</v>
      </c>
      <c r="E163" t="str">
        <f>TEXT(7931342000336,"00000000000000")</f>
        <v>07931342000336</v>
      </c>
      <c r="F163" t="s">
        <v>94</v>
      </c>
      <c r="G163" t="s">
        <v>14</v>
      </c>
      <c r="H163">
        <v>28060229</v>
      </c>
      <c r="I163" t="s">
        <v>89</v>
      </c>
      <c r="J163">
        <v>1</v>
      </c>
      <c r="K163">
        <v>14.4</v>
      </c>
    </row>
    <row r="164" spans="1:11" x14ac:dyDescent="0.3">
      <c r="A164">
        <v>2026</v>
      </c>
      <c r="B164">
        <v>1</v>
      </c>
      <c r="C164" t="s">
        <v>11</v>
      </c>
      <c r="D164" t="s">
        <v>93</v>
      </c>
      <c r="E164" t="str">
        <f>TEXT(7931342000336,"00000000000000")</f>
        <v>07931342000336</v>
      </c>
      <c r="F164" t="s">
        <v>94</v>
      </c>
      <c r="G164" t="s">
        <v>14</v>
      </c>
      <c r="H164">
        <v>28060504</v>
      </c>
      <c r="I164" t="s">
        <v>59</v>
      </c>
      <c r="J164">
        <v>1</v>
      </c>
      <c r="K164">
        <v>5.4</v>
      </c>
    </row>
    <row r="165" spans="1:11" x14ac:dyDescent="0.3">
      <c r="A165">
        <v>2026</v>
      </c>
      <c r="B165">
        <v>1</v>
      </c>
      <c r="C165" t="s">
        <v>11</v>
      </c>
      <c r="D165" t="s">
        <v>93</v>
      </c>
      <c r="E165" t="str">
        <f>TEXT(7931342000336,"00000000000000")</f>
        <v>07931342000336</v>
      </c>
      <c r="F165" t="s">
        <v>94</v>
      </c>
      <c r="G165" t="s">
        <v>14</v>
      </c>
      <c r="H165">
        <v>28060865</v>
      </c>
      <c r="I165" t="s">
        <v>108</v>
      </c>
      <c r="J165">
        <v>5</v>
      </c>
      <c r="K165">
        <v>16</v>
      </c>
    </row>
    <row r="166" spans="1:11" x14ac:dyDescent="0.3">
      <c r="A166">
        <v>2026</v>
      </c>
      <c r="B166">
        <v>1</v>
      </c>
      <c r="C166" t="s">
        <v>11</v>
      </c>
      <c r="D166" t="s">
        <v>93</v>
      </c>
      <c r="E166" t="str">
        <f>TEXT(7931342000336,"00000000000000")</f>
        <v>07931342000336</v>
      </c>
      <c r="F166" t="s">
        <v>94</v>
      </c>
      <c r="G166" t="s">
        <v>14</v>
      </c>
      <c r="H166">
        <v>28061004</v>
      </c>
      <c r="I166" t="s">
        <v>62</v>
      </c>
      <c r="J166">
        <v>5</v>
      </c>
      <c r="K166">
        <v>19.2</v>
      </c>
    </row>
    <row r="167" spans="1:11" x14ac:dyDescent="0.3">
      <c r="A167">
        <v>2026</v>
      </c>
      <c r="B167">
        <v>1</v>
      </c>
      <c r="C167" t="s">
        <v>11</v>
      </c>
      <c r="D167" t="s">
        <v>93</v>
      </c>
      <c r="E167" t="str">
        <f>TEXT(7931342000336,"00000000000000")</f>
        <v>07931342000336</v>
      </c>
      <c r="F167" t="s">
        <v>94</v>
      </c>
      <c r="G167" t="s">
        <v>14</v>
      </c>
      <c r="H167">
        <v>28061594</v>
      </c>
      <c r="I167" t="s">
        <v>91</v>
      </c>
      <c r="J167">
        <v>1</v>
      </c>
      <c r="K167">
        <v>47</v>
      </c>
    </row>
    <row r="168" spans="1:11" x14ac:dyDescent="0.3">
      <c r="A168">
        <v>2026</v>
      </c>
      <c r="B168">
        <v>1</v>
      </c>
      <c r="C168" t="s">
        <v>11</v>
      </c>
      <c r="D168" t="s">
        <v>93</v>
      </c>
      <c r="E168" t="str">
        <f>TEXT(7931342000336,"00000000000000")</f>
        <v>07931342000336</v>
      </c>
      <c r="F168" t="s">
        <v>94</v>
      </c>
      <c r="G168" t="s">
        <v>14</v>
      </c>
      <c r="H168">
        <v>28061608</v>
      </c>
      <c r="I168" t="s">
        <v>109</v>
      </c>
      <c r="J168">
        <v>1</v>
      </c>
      <c r="K168">
        <v>10.8</v>
      </c>
    </row>
    <row r="169" spans="1:11" x14ac:dyDescent="0.3">
      <c r="A169">
        <v>2026</v>
      </c>
      <c r="B169">
        <v>1</v>
      </c>
      <c r="C169" t="s">
        <v>11</v>
      </c>
      <c r="D169" t="s">
        <v>93</v>
      </c>
      <c r="E169" t="str">
        <f>TEXT(7931342000336,"00000000000000")</f>
        <v>07931342000336</v>
      </c>
      <c r="F169" t="s">
        <v>94</v>
      </c>
      <c r="G169" t="s">
        <v>14</v>
      </c>
      <c r="H169">
        <v>28061624</v>
      </c>
      <c r="I169" t="s">
        <v>92</v>
      </c>
      <c r="J169">
        <v>14</v>
      </c>
      <c r="K169">
        <v>532</v>
      </c>
    </row>
    <row r="170" spans="1:11" x14ac:dyDescent="0.3">
      <c r="A170">
        <v>2026</v>
      </c>
      <c r="B170">
        <v>1</v>
      </c>
      <c r="C170" t="s">
        <v>11</v>
      </c>
      <c r="D170" t="s">
        <v>93</v>
      </c>
      <c r="E170" t="str">
        <f>TEXT(7931342000336,"00000000000000")</f>
        <v>07931342000336</v>
      </c>
      <c r="F170" t="s">
        <v>94</v>
      </c>
      <c r="G170" t="s">
        <v>14</v>
      </c>
      <c r="H170">
        <v>28061659</v>
      </c>
      <c r="I170" t="s">
        <v>63</v>
      </c>
      <c r="J170">
        <v>2</v>
      </c>
      <c r="K170">
        <v>86.4</v>
      </c>
    </row>
    <row r="171" spans="1:11" x14ac:dyDescent="0.3">
      <c r="A171">
        <v>2026</v>
      </c>
      <c r="B171">
        <v>1</v>
      </c>
      <c r="C171" t="s">
        <v>11</v>
      </c>
      <c r="D171" t="s">
        <v>93</v>
      </c>
      <c r="E171" t="str">
        <f>TEXT(7931342000336,"00000000000000")</f>
        <v>07931342000336</v>
      </c>
      <c r="F171" t="s">
        <v>94</v>
      </c>
      <c r="G171" t="s">
        <v>14</v>
      </c>
      <c r="H171">
        <v>28061691</v>
      </c>
      <c r="I171" t="s">
        <v>64</v>
      </c>
      <c r="J171">
        <v>3</v>
      </c>
      <c r="K171">
        <v>90</v>
      </c>
    </row>
    <row r="172" spans="1:11" x14ac:dyDescent="0.3">
      <c r="A172">
        <v>2026</v>
      </c>
      <c r="B172">
        <v>1</v>
      </c>
      <c r="C172" t="s">
        <v>11</v>
      </c>
      <c r="D172" t="s">
        <v>93</v>
      </c>
      <c r="E172" t="str">
        <f>TEXT(7931342000336,"00000000000000")</f>
        <v>07931342000336</v>
      </c>
      <c r="F172" t="s">
        <v>94</v>
      </c>
      <c r="G172" t="s">
        <v>14</v>
      </c>
      <c r="H172">
        <v>28100549</v>
      </c>
      <c r="I172" t="s">
        <v>68</v>
      </c>
      <c r="J172">
        <v>2</v>
      </c>
      <c r="K172">
        <v>21.2</v>
      </c>
    </row>
    <row r="173" spans="1:11" x14ac:dyDescent="0.3">
      <c r="A173">
        <v>2026</v>
      </c>
      <c r="B173">
        <v>1</v>
      </c>
      <c r="C173" t="s">
        <v>11</v>
      </c>
      <c r="D173" t="s">
        <v>93</v>
      </c>
      <c r="E173" t="str">
        <f>TEXT(7931342000336,"00000000000000")</f>
        <v>07931342000336</v>
      </c>
      <c r="F173" t="s">
        <v>94</v>
      </c>
      <c r="G173" t="s">
        <v>14</v>
      </c>
      <c r="H173">
        <v>28130316</v>
      </c>
      <c r="I173" t="s">
        <v>110</v>
      </c>
      <c r="J173">
        <v>1</v>
      </c>
      <c r="K173">
        <v>6.48</v>
      </c>
    </row>
    <row r="174" spans="1:11" x14ac:dyDescent="0.3">
      <c r="A174">
        <v>2026</v>
      </c>
      <c r="B174">
        <v>1</v>
      </c>
      <c r="C174" t="s">
        <v>11</v>
      </c>
      <c r="D174" t="s">
        <v>93</v>
      </c>
      <c r="E174" t="str">
        <f>TEXT(7931342000336,"00000000000000")</f>
        <v>07931342000336</v>
      </c>
      <c r="F174" t="s">
        <v>94</v>
      </c>
      <c r="G174" t="s">
        <v>14</v>
      </c>
      <c r="H174">
        <v>28130367</v>
      </c>
      <c r="I174" t="s">
        <v>69</v>
      </c>
      <c r="J174">
        <v>15</v>
      </c>
      <c r="K174">
        <v>57.6</v>
      </c>
    </row>
    <row r="175" spans="1:11" x14ac:dyDescent="0.3">
      <c r="A175">
        <v>2026</v>
      </c>
      <c r="B175">
        <v>1</v>
      </c>
      <c r="C175" t="s">
        <v>11</v>
      </c>
      <c r="D175" t="s">
        <v>111</v>
      </c>
      <c r="E175" t="str">
        <f>TEXT(11349776000138,"00000000000000")</f>
        <v>11349776000138</v>
      </c>
      <c r="F175" t="s">
        <v>112</v>
      </c>
      <c r="G175" t="s">
        <v>14</v>
      </c>
      <c r="H175">
        <v>28010175</v>
      </c>
      <c r="I175" t="s">
        <v>19</v>
      </c>
      <c r="J175">
        <v>9</v>
      </c>
      <c r="K175">
        <v>26.64</v>
      </c>
    </row>
    <row r="176" spans="1:11" x14ac:dyDescent="0.3">
      <c r="A176">
        <v>2026</v>
      </c>
      <c r="B176">
        <v>1</v>
      </c>
      <c r="C176" t="s">
        <v>11</v>
      </c>
      <c r="D176" t="s">
        <v>111</v>
      </c>
      <c r="E176" t="str">
        <f>TEXT(11349776000138,"00000000000000")</f>
        <v>11349776000138</v>
      </c>
      <c r="F176" t="s">
        <v>112</v>
      </c>
      <c r="G176" t="s">
        <v>14</v>
      </c>
      <c r="H176">
        <v>28010256</v>
      </c>
      <c r="I176" t="s">
        <v>76</v>
      </c>
      <c r="J176">
        <v>1</v>
      </c>
      <c r="K176">
        <v>3.84</v>
      </c>
    </row>
    <row r="177" spans="1:11" x14ac:dyDescent="0.3">
      <c r="A177">
        <v>2026</v>
      </c>
      <c r="B177">
        <v>1</v>
      </c>
      <c r="C177" t="s">
        <v>11</v>
      </c>
      <c r="D177" t="s">
        <v>111</v>
      </c>
      <c r="E177" t="str">
        <f>TEXT(11349776000138,"00000000000000")</f>
        <v>11349776000138</v>
      </c>
      <c r="F177" t="s">
        <v>112</v>
      </c>
      <c r="G177" t="s">
        <v>14</v>
      </c>
      <c r="H177">
        <v>28010299</v>
      </c>
      <c r="I177" t="s">
        <v>20</v>
      </c>
      <c r="J177">
        <v>4</v>
      </c>
      <c r="K177">
        <v>17.12</v>
      </c>
    </row>
    <row r="178" spans="1:11" x14ac:dyDescent="0.3">
      <c r="A178">
        <v>2026</v>
      </c>
      <c r="B178">
        <v>1</v>
      </c>
      <c r="C178" t="s">
        <v>11</v>
      </c>
      <c r="D178" t="s">
        <v>111</v>
      </c>
      <c r="E178" t="str">
        <f>TEXT(11349776000138,"00000000000000")</f>
        <v>11349776000138</v>
      </c>
      <c r="F178" t="s">
        <v>112</v>
      </c>
      <c r="G178" t="s">
        <v>14</v>
      </c>
      <c r="H178">
        <v>28010329</v>
      </c>
      <c r="I178" t="s">
        <v>21</v>
      </c>
      <c r="J178">
        <v>2</v>
      </c>
      <c r="K178">
        <v>5.92</v>
      </c>
    </row>
    <row r="179" spans="1:11" x14ac:dyDescent="0.3">
      <c r="A179">
        <v>2026</v>
      </c>
      <c r="B179">
        <v>1</v>
      </c>
      <c r="C179" t="s">
        <v>11</v>
      </c>
      <c r="D179" t="s">
        <v>111</v>
      </c>
      <c r="E179" t="str">
        <f>TEXT(11349776000138,"00000000000000")</f>
        <v>11349776000138</v>
      </c>
      <c r="F179" t="s">
        <v>112</v>
      </c>
      <c r="G179" t="s">
        <v>14</v>
      </c>
      <c r="H179">
        <v>28010337</v>
      </c>
      <c r="I179" t="s">
        <v>113</v>
      </c>
      <c r="J179">
        <v>2</v>
      </c>
      <c r="K179">
        <v>14.64</v>
      </c>
    </row>
    <row r="180" spans="1:11" x14ac:dyDescent="0.3">
      <c r="A180">
        <v>2026</v>
      </c>
      <c r="B180">
        <v>1</v>
      </c>
      <c r="C180" t="s">
        <v>11</v>
      </c>
      <c r="D180" t="s">
        <v>111</v>
      </c>
      <c r="E180" t="str">
        <f>TEXT(11349776000138,"00000000000000")</f>
        <v>11349776000138</v>
      </c>
      <c r="F180" t="s">
        <v>112</v>
      </c>
      <c r="G180" t="s">
        <v>14</v>
      </c>
      <c r="H180">
        <v>28010469</v>
      </c>
      <c r="I180" t="s">
        <v>22</v>
      </c>
      <c r="J180">
        <v>1</v>
      </c>
      <c r="K180">
        <v>3</v>
      </c>
    </row>
    <row r="181" spans="1:11" x14ac:dyDescent="0.3">
      <c r="A181">
        <v>2026</v>
      </c>
      <c r="B181">
        <v>1</v>
      </c>
      <c r="C181" t="s">
        <v>11</v>
      </c>
      <c r="D181" t="s">
        <v>111</v>
      </c>
      <c r="E181" t="str">
        <f>TEXT(11349776000138,"00000000000000")</f>
        <v>11349776000138</v>
      </c>
      <c r="F181" t="s">
        <v>112</v>
      </c>
      <c r="G181" t="s">
        <v>14</v>
      </c>
      <c r="H181">
        <v>28010540</v>
      </c>
      <c r="I181" t="s">
        <v>23</v>
      </c>
      <c r="J181">
        <v>16</v>
      </c>
      <c r="K181">
        <v>48</v>
      </c>
    </row>
    <row r="182" spans="1:11" x14ac:dyDescent="0.3">
      <c r="A182">
        <v>2026</v>
      </c>
      <c r="B182">
        <v>1</v>
      </c>
      <c r="C182" t="s">
        <v>11</v>
      </c>
      <c r="D182" t="s">
        <v>111</v>
      </c>
      <c r="E182" t="str">
        <f>TEXT(11349776000138,"00000000000000")</f>
        <v>11349776000138</v>
      </c>
      <c r="F182" t="s">
        <v>112</v>
      </c>
      <c r="G182" t="s">
        <v>14</v>
      </c>
      <c r="H182">
        <v>28010655</v>
      </c>
      <c r="I182" t="s">
        <v>78</v>
      </c>
      <c r="J182">
        <v>1</v>
      </c>
      <c r="K182">
        <v>6.4</v>
      </c>
    </row>
    <row r="183" spans="1:11" x14ac:dyDescent="0.3">
      <c r="A183">
        <v>2026</v>
      </c>
      <c r="B183">
        <v>1</v>
      </c>
      <c r="C183" t="s">
        <v>11</v>
      </c>
      <c r="D183" t="s">
        <v>111</v>
      </c>
      <c r="E183" t="str">
        <f>TEXT(11349776000138,"00000000000000")</f>
        <v>11349776000138</v>
      </c>
      <c r="F183" t="s">
        <v>112</v>
      </c>
      <c r="G183" t="s">
        <v>14</v>
      </c>
      <c r="H183">
        <v>28010795</v>
      </c>
      <c r="I183" t="s">
        <v>24</v>
      </c>
      <c r="J183">
        <v>9</v>
      </c>
      <c r="K183">
        <v>249.12</v>
      </c>
    </row>
    <row r="184" spans="1:11" x14ac:dyDescent="0.3">
      <c r="A184">
        <v>2026</v>
      </c>
      <c r="B184">
        <v>1</v>
      </c>
      <c r="C184" t="s">
        <v>11</v>
      </c>
      <c r="D184" t="s">
        <v>111</v>
      </c>
      <c r="E184" t="str">
        <f>TEXT(11349776000138,"00000000000000")</f>
        <v>11349776000138</v>
      </c>
      <c r="F184" t="s">
        <v>112</v>
      </c>
      <c r="G184" t="s">
        <v>14</v>
      </c>
      <c r="H184">
        <v>28010809</v>
      </c>
      <c r="I184" t="s">
        <v>25</v>
      </c>
      <c r="J184">
        <v>5</v>
      </c>
      <c r="K184">
        <v>20</v>
      </c>
    </row>
    <row r="185" spans="1:11" x14ac:dyDescent="0.3">
      <c r="A185">
        <v>2026</v>
      </c>
      <c r="B185">
        <v>1</v>
      </c>
      <c r="C185" t="s">
        <v>11</v>
      </c>
      <c r="D185" t="s">
        <v>111</v>
      </c>
      <c r="E185" t="str">
        <f>TEXT(11349776000138,"00000000000000")</f>
        <v>11349776000138</v>
      </c>
      <c r="F185" t="s">
        <v>112</v>
      </c>
      <c r="G185" t="s">
        <v>14</v>
      </c>
      <c r="H185">
        <v>28010850</v>
      </c>
      <c r="I185" t="s">
        <v>26</v>
      </c>
      <c r="J185">
        <v>3</v>
      </c>
      <c r="K185">
        <v>11.52</v>
      </c>
    </row>
    <row r="186" spans="1:11" x14ac:dyDescent="0.3">
      <c r="A186">
        <v>2026</v>
      </c>
      <c r="B186">
        <v>1</v>
      </c>
      <c r="C186" t="s">
        <v>11</v>
      </c>
      <c r="D186" t="s">
        <v>111</v>
      </c>
      <c r="E186" t="str">
        <f>TEXT(11349776000138,"00000000000000")</f>
        <v>11349776000138</v>
      </c>
      <c r="F186" t="s">
        <v>112</v>
      </c>
      <c r="G186" t="s">
        <v>14</v>
      </c>
      <c r="H186">
        <v>28010892</v>
      </c>
      <c r="I186" t="s">
        <v>27</v>
      </c>
      <c r="J186">
        <v>3</v>
      </c>
      <c r="K186">
        <v>9</v>
      </c>
    </row>
    <row r="187" spans="1:11" x14ac:dyDescent="0.3">
      <c r="A187">
        <v>2026</v>
      </c>
      <c r="B187">
        <v>1</v>
      </c>
      <c r="C187" t="s">
        <v>11</v>
      </c>
      <c r="D187" t="s">
        <v>111</v>
      </c>
      <c r="E187" t="str">
        <f>TEXT(11349776000138,"00000000000000")</f>
        <v>11349776000138</v>
      </c>
      <c r="F187" t="s">
        <v>112</v>
      </c>
      <c r="G187" t="s">
        <v>14</v>
      </c>
      <c r="H187">
        <v>28010957</v>
      </c>
      <c r="I187" t="s">
        <v>28</v>
      </c>
      <c r="J187">
        <v>6</v>
      </c>
      <c r="K187">
        <v>25.44</v>
      </c>
    </row>
    <row r="188" spans="1:11" x14ac:dyDescent="0.3">
      <c r="A188">
        <v>2026</v>
      </c>
      <c r="B188">
        <v>1</v>
      </c>
      <c r="C188" t="s">
        <v>11</v>
      </c>
      <c r="D188" t="s">
        <v>111</v>
      </c>
      <c r="E188" t="str">
        <f>TEXT(11349776000138,"00000000000000")</f>
        <v>11349776000138</v>
      </c>
      <c r="F188" t="s">
        <v>112</v>
      </c>
      <c r="G188" t="s">
        <v>14</v>
      </c>
      <c r="H188">
        <v>28010973</v>
      </c>
      <c r="I188" t="s">
        <v>29</v>
      </c>
      <c r="J188">
        <v>24</v>
      </c>
      <c r="K188">
        <v>69</v>
      </c>
    </row>
    <row r="189" spans="1:11" x14ac:dyDescent="0.3">
      <c r="A189">
        <v>2026</v>
      </c>
      <c r="B189">
        <v>1</v>
      </c>
      <c r="C189" t="s">
        <v>11</v>
      </c>
      <c r="D189" t="s">
        <v>111</v>
      </c>
      <c r="E189" t="str">
        <f>TEXT(11349776000138,"00000000000000")</f>
        <v>11349776000138</v>
      </c>
      <c r="F189" t="s">
        <v>112</v>
      </c>
      <c r="G189" t="s">
        <v>14</v>
      </c>
      <c r="H189">
        <v>28011023</v>
      </c>
      <c r="I189" t="s">
        <v>30</v>
      </c>
      <c r="J189">
        <v>18</v>
      </c>
      <c r="K189">
        <v>216</v>
      </c>
    </row>
    <row r="190" spans="1:11" x14ac:dyDescent="0.3">
      <c r="A190">
        <v>2026</v>
      </c>
      <c r="B190">
        <v>1</v>
      </c>
      <c r="C190" t="s">
        <v>11</v>
      </c>
      <c r="D190" t="s">
        <v>111</v>
      </c>
      <c r="E190" t="str">
        <f>TEXT(11349776000138,"00000000000000")</f>
        <v>11349776000138</v>
      </c>
      <c r="F190" t="s">
        <v>112</v>
      </c>
      <c r="G190" t="s">
        <v>14</v>
      </c>
      <c r="H190">
        <v>28011082</v>
      </c>
      <c r="I190" t="s">
        <v>79</v>
      </c>
      <c r="J190">
        <v>1</v>
      </c>
      <c r="K190">
        <v>4.32</v>
      </c>
    </row>
    <row r="191" spans="1:11" x14ac:dyDescent="0.3">
      <c r="A191">
        <v>2026</v>
      </c>
      <c r="B191">
        <v>1</v>
      </c>
      <c r="C191" t="s">
        <v>11</v>
      </c>
      <c r="D191" t="s">
        <v>111</v>
      </c>
      <c r="E191" t="str">
        <f>TEXT(11349776000138,"00000000000000")</f>
        <v>11349776000138</v>
      </c>
      <c r="F191" t="s">
        <v>112</v>
      </c>
      <c r="G191" t="s">
        <v>14</v>
      </c>
      <c r="H191">
        <v>28011104</v>
      </c>
      <c r="I191" t="s">
        <v>31</v>
      </c>
      <c r="J191">
        <v>17</v>
      </c>
      <c r="K191">
        <v>302.60000000000002</v>
      </c>
    </row>
    <row r="192" spans="1:11" x14ac:dyDescent="0.3">
      <c r="A192">
        <v>2026</v>
      </c>
      <c r="B192">
        <v>1</v>
      </c>
      <c r="C192" t="s">
        <v>11</v>
      </c>
      <c r="D192" t="s">
        <v>111</v>
      </c>
      <c r="E192" t="str">
        <f>TEXT(11349776000138,"00000000000000")</f>
        <v>11349776000138</v>
      </c>
      <c r="F192" t="s">
        <v>112</v>
      </c>
      <c r="G192" t="s">
        <v>14</v>
      </c>
      <c r="H192">
        <v>28011210</v>
      </c>
      <c r="I192" t="s">
        <v>34</v>
      </c>
      <c r="J192">
        <v>7</v>
      </c>
      <c r="K192">
        <v>20.72</v>
      </c>
    </row>
    <row r="193" spans="1:11" x14ac:dyDescent="0.3">
      <c r="A193">
        <v>2026</v>
      </c>
      <c r="B193">
        <v>1</v>
      </c>
      <c r="C193" t="s">
        <v>11</v>
      </c>
      <c r="D193" t="s">
        <v>111</v>
      </c>
      <c r="E193" t="str">
        <f>TEXT(11349776000138,"00000000000000")</f>
        <v>11349776000138</v>
      </c>
      <c r="F193" t="s">
        <v>112</v>
      </c>
      <c r="G193" t="s">
        <v>14</v>
      </c>
      <c r="H193">
        <v>28011279</v>
      </c>
      <c r="I193" t="s">
        <v>36</v>
      </c>
      <c r="J193">
        <v>7</v>
      </c>
      <c r="K193">
        <v>20.72</v>
      </c>
    </row>
    <row r="194" spans="1:11" x14ac:dyDescent="0.3">
      <c r="A194">
        <v>2026</v>
      </c>
      <c r="B194">
        <v>1</v>
      </c>
      <c r="C194" t="s">
        <v>11</v>
      </c>
      <c r="D194" t="s">
        <v>111</v>
      </c>
      <c r="E194" t="str">
        <f>TEXT(11349776000138,"00000000000000")</f>
        <v>11349776000138</v>
      </c>
      <c r="F194" t="s">
        <v>112</v>
      </c>
      <c r="G194" t="s">
        <v>14</v>
      </c>
      <c r="H194">
        <v>28011368</v>
      </c>
      <c r="I194" t="s">
        <v>37</v>
      </c>
      <c r="J194">
        <v>12</v>
      </c>
      <c r="K194">
        <v>36</v>
      </c>
    </row>
    <row r="195" spans="1:11" x14ac:dyDescent="0.3">
      <c r="A195">
        <v>2026</v>
      </c>
      <c r="B195">
        <v>1</v>
      </c>
      <c r="C195" t="s">
        <v>11</v>
      </c>
      <c r="D195" t="s">
        <v>111</v>
      </c>
      <c r="E195" t="str">
        <f>TEXT(11349776000138,"00000000000000")</f>
        <v>11349776000138</v>
      </c>
      <c r="F195" t="s">
        <v>112</v>
      </c>
      <c r="G195" t="s">
        <v>14</v>
      </c>
      <c r="H195">
        <v>28011376</v>
      </c>
      <c r="I195" t="s">
        <v>38</v>
      </c>
      <c r="J195">
        <v>12</v>
      </c>
      <c r="K195">
        <v>36</v>
      </c>
    </row>
    <row r="196" spans="1:11" x14ac:dyDescent="0.3">
      <c r="A196">
        <v>2026</v>
      </c>
      <c r="B196">
        <v>1</v>
      </c>
      <c r="C196" t="s">
        <v>11</v>
      </c>
      <c r="D196" t="s">
        <v>111</v>
      </c>
      <c r="E196" t="str">
        <f>TEXT(11349776000138,"00000000000000")</f>
        <v>11349776000138</v>
      </c>
      <c r="F196" t="s">
        <v>112</v>
      </c>
      <c r="G196" t="s">
        <v>14</v>
      </c>
      <c r="H196">
        <v>28011414</v>
      </c>
      <c r="I196" t="s">
        <v>39</v>
      </c>
      <c r="J196">
        <v>16</v>
      </c>
      <c r="K196">
        <v>48</v>
      </c>
    </row>
    <row r="197" spans="1:11" x14ac:dyDescent="0.3">
      <c r="A197">
        <v>2026</v>
      </c>
      <c r="B197">
        <v>1</v>
      </c>
      <c r="C197" t="s">
        <v>11</v>
      </c>
      <c r="D197" t="s">
        <v>111</v>
      </c>
      <c r="E197" t="str">
        <f>TEXT(11349776000138,"00000000000000")</f>
        <v>11349776000138</v>
      </c>
      <c r="F197" t="s">
        <v>112</v>
      </c>
      <c r="G197" t="s">
        <v>14</v>
      </c>
      <c r="H197">
        <v>28011449</v>
      </c>
      <c r="I197" t="s">
        <v>40</v>
      </c>
      <c r="J197">
        <v>14</v>
      </c>
      <c r="K197">
        <v>268.8</v>
      </c>
    </row>
    <row r="198" spans="1:11" x14ac:dyDescent="0.3">
      <c r="A198">
        <v>2026</v>
      </c>
      <c r="B198">
        <v>1</v>
      </c>
      <c r="C198" t="s">
        <v>11</v>
      </c>
      <c r="D198" t="s">
        <v>111</v>
      </c>
      <c r="E198" t="str">
        <f>TEXT(11349776000138,"00000000000000")</f>
        <v>11349776000138</v>
      </c>
      <c r="F198" t="s">
        <v>112</v>
      </c>
      <c r="G198" t="s">
        <v>14</v>
      </c>
      <c r="H198">
        <v>28030141</v>
      </c>
      <c r="I198" t="s">
        <v>41</v>
      </c>
      <c r="J198">
        <v>1</v>
      </c>
      <c r="K198">
        <v>4.28</v>
      </c>
    </row>
    <row r="199" spans="1:11" x14ac:dyDescent="0.3">
      <c r="A199">
        <v>2026</v>
      </c>
      <c r="B199">
        <v>1</v>
      </c>
      <c r="C199" t="s">
        <v>11</v>
      </c>
      <c r="D199" t="s">
        <v>111</v>
      </c>
      <c r="E199" t="str">
        <f>TEXT(11349776000138,"00000000000000")</f>
        <v>11349776000138</v>
      </c>
      <c r="F199" t="s">
        <v>112</v>
      </c>
      <c r="G199" t="s">
        <v>14</v>
      </c>
      <c r="H199">
        <v>28030176</v>
      </c>
      <c r="I199" t="s">
        <v>114</v>
      </c>
      <c r="J199">
        <v>3</v>
      </c>
      <c r="K199">
        <v>9.6</v>
      </c>
    </row>
    <row r="200" spans="1:11" x14ac:dyDescent="0.3">
      <c r="A200">
        <v>2026</v>
      </c>
      <c r="B200">
        <v>1</v>
      </c>
      <c r="C200" t="s">
        <v>11</v>
      </c>
      <c r="D200" t="s">
        <v>111</v>
      </c>
      <c r="E200" t="str">
        <f>TEXT(11349776000138,"00000000000000")</f>
        <v>11349776000138</v>
      </c>
      <c r="F200" t="s">
        <v>112</v>
      </c>
      <c r="G200" t="s">
        <v>14</v>
      </c>
      <c r="H200">
        <v>28040139</v>
      </c>
      <c r="I200" t="s">
        <v>82</v>
      </c>
      <c r="J200">
        <v>4</v>
      </c>
      <c r="K200">
        <v>57.6</v>
      </c>
    </row>
    <row r="201" spans="1:11" x14ac:dyDescent="0.3">
      <c r="A201">
        <v>2026</v>
      </c>
      <c r="B201">
        <v>1</v>
      </c>
      <c r="C201" t="s">
        <v>11</v>
      </c>
      <c r="D201" t="s">
        <v>111</v>
      </c>
      <c r="E201" t="str">
        <f>TEXT(11349776000138,"00000000000000")</f>
        <v>11349776000138</v>
      </c>
      <c r="F201" t="s">
        <v>112</v>
      </c>
      <c r="G201" t="s">
        <v>14</v>
      </c>
      <c r="H201">
        <v>28040481</v>
      </c>
      <c r="I201" t="s">
        <v>42</v>
      </c>
      <c r="J201">
        <v>21</v>
      </c>
      <c r="K201">
        <v>134.4</v>
      </c>
    </row>
    <row r="202" spans="1:11" x14ac:dyDescent="0.3">
      <c r="A202">
        <v>2026</v>
      </c>
      <c r="B202">
        <v>1</v>
      </c>
      <c r="C202" t="s">
        <v>11</v>
      </c>
      <c r="D202" t="s">
        <v>111</v>
      </c>
      <c r="E202" t="str">
        <f>TEXT(11349776000138,"00000000000000")</f>
        <v>11349776000138</v>
      </c>
      <c r="F202" t="s">
        <v>112</v>
      </c>
      <c r="G202" t="s">
        <v>14</v>
      </c>
      <c r="H202">
        <v>28040490</v>
      </c>
      <c r="I202" t="s">
        <v>43</v>
      </c>
      <c r="J202">
        <v>1</v>
      </c>
      <c r="K202">
        <v>2.12</v>
      </c>
    </row>
    <row r="203" spans="1:11" x14ac:dyDescent="0.3">
      <c r="A203">
        <v>2026</v>
      </c>
      <c r="B203">
        <v>1</v>
      </c>
      <c r="C203" t="s">
        <v>11</v>
      </c>
      <c r="D203" t="s">
        <v>111</v>
      </c>
      <c r="E203" t="str">
        <f>TEXT(11349776000138,"00000000000000")</f>
        <v>11349776000138</v>
      </c>
      <c r="F203" t="s">
        <v>112</v>
      </c>
      <c r="G203" t="s">
        <v>14</v>
      </c>
      <c r="H203">
        <v>28040708</v>
      </c>
      <c r="I203" t="s">
        <v>115</v>
      </c>
      <c r="J203">
        <v>1</v>
      </c>
      <c r="K203">
        <v>2.12</v>
      </c>
    </row>
    <row r="204" spans="1:11" x14ac:dyDescent="0.3">
      <c r="A204">
        <v>2026</v>
      </c>
      <c r="B204">
        <v>1</v>
      </c>
      <c r="C204" t="s">
        <v>11</v>
      </c>
      <c r="D204" t="s">
        <v>111</v>
      </c>
      <c r="E204" t="str">
        <f>TEXT(11349776000138,"00000000000000")</f>
        <v>11349776000138</v>
      </c>
      <c r="F204" t="s">
        <v>112</v>
      </c>
      <c r="G204" t="s">
        <v>14</v>
      </c>
      <c r="H204">
        <v>28040732</v>
      </c>
      <c r="I204" t="s">
        <v>100</v>
      </c>
      <c r="J204">
        <v>1</v>
      </c>
      <c r="K204">
        <v>3.84</v>
      </c>
    </row>
    <row r="205" spans="1:11" x14ac:dyDescent="0.3">
      <c r="A205">
        <v>2026</v>
      </c>
      <c r="B205">
        <v>1</v>
      </c>
      <c r="C205" t="s">
        <v>11</v>
      </c>
      <c r="D205" t="s">
        <v>111</v>
      </c>
      <c r="E205" t="str">
        <f>TEXT(11349776000138,"00000000000000")</f>
        <v>11349776000138</v>
      </c>
      <c r="F205" t="s">
        <v>112</v>
      </c>
      <c r="G205" t="s">
        <v>14</v>
      </c>
      <c r="H205">
        <v>28040767</v>
      </c>
      <c r="I205" t="s">
        <v>116</v>
      </c>
      <c r="J205">
        <v>1</v>
      </c>
      <c r="K205">
        <v>2.12</v>
      </c>
    </row>
    <row r="206" spans="1:11" x14ac:dyDescent="0.3">
      <c r="A206">
        <v>2026</v>
      </c>
      <c r="B206">
        <v>1</v>
      </c>
      <c r="C206" t="s">
        <v>11</v>
      </c>
      <c r="D206" t="s">
        <v>111</v>
      </c>
      <c r="E206" t="str">
        <f>TEXT(11349776000138,"00000000000000")</f>
        <v>11349776000138</v>
      </c>
      <c r="F206" t="s">
        <v>112</v>
      </c>
      <c r="G206" t="s">
        <v>14</v>
      </c>
      <c r="H206">
        <v>28050240</v>
      </c>
      <c r="I206" t="s">
        <v>45</v>
      </c>
      <c r="J206">
        <v>2</v>
      </c>
      <c r="K206">
        <v>44.8</v>
      </c>
    </row>
    <row r="207" spans="1:11" x14ac:dyDescent="0.3">
      <c r="A207">
        <v>2026</v>
      </c>
      <c r="B207">
        <v>1</v>
      </c>
      <c r="C207" t="s">
        <v>11</v>
      </c>
      <c r="D207" t="s">
        <v>111</v>
      </c>
      <c r="E207" t="str">
        <f>TEXT(11349776000138,"00000000000000")</f>
        <v>11349776000138</v>
      </c>
      <c r="F207" t="s">
        <v>112</v>
      </c>
      <c r="G207" t="s">
        <v>14</v>
      </c>
      <c r="H207">
        <v>28050304</v>
      </c>
      <c r="I207" t="s">
        <v>117</v>
      </c>
      <c r="J207">
        <v>1</v>
      </c>
      <c r="K207">
        <v>22.56</v>
      </c>
    </row>
    <row r="208" spans="1:11" x14ac:dyDescent="0.3">
      <c r="A208">
        <v>2026</v>
      </c>
      <c r="B208">
        <v>1</v>
      </c>
      <c r="C208" t="s">
        <v>11</v>
      </c>
      <c r="D208" t="s">
        <v>111</v>
      </c>
      <c r="E208" t="str">
        <f>TEXT(11349776000138,"00000000000000")</f>
        <v>11349776000138</v>
      </c>
      <c r="F208" t="s">
        <v>112</v>
      </c>
      <c r="G208" t="s">
        <v>14</v>
      </c>
      <c r="H208">
        <v>28050312</v>
      </c>
      <c r="I208" t="s">
        <v>46</v>
      </c>
      <c r="J208">
        <v>3</v>
      </c>
      <c r="K208">
        <v>48</v>
      </c>
    </row>
    <row r="209" spans="1:11" x14ac:dyDescent="0.3">
      <c r="A209">
        <v>2026</v>
      </c>
      <c r="B209">
        <v>1</v>
      </c>
      <c r="C209" t="s">
        <v>11</v>
      </c>
      <c r="D209" t="s">
        <v>111</v>
      </c>
      <c r="E209" t="str">
        <f>TEXT(11349776000138,"00000000000000")</f>
        <v>11349776000138</v>
      </c>
      <c r="F209" t="s">
        <v>112</v>
      </c>
      <c r="G209" t="s">
        <v>14</v>
      </c>
      <c r="H209">
        <v>28050355</v>
      </c>
      <c r="I209" t="s">
        <v>47</v>
      </c>
      <c r="J209">
        <v>4</v>
      </c>
      <c r="K209">
        <v>51.2</v>
      </c>
    </row>
    <row r="210" spans="1:11" x14ac:dyDescent="0.3">
      <c r="A210">
        <v>2026</v>
      </c>
      <c r="B210">
        <v>1</v>
      </c>
      <c r="C210" t="s">
        <v>11</v>
      </c>
      <c r="D210" t="s">
        <v>111</v>
      </c>
      <c r="E210" t="str">
        <f>TEXT(11349776000138,"00000000000000")</f>
        <v>11349776000138</v>
      </c>
      <c r="F210" t="s">
        <v>112</v>
      </c>
      <c r="G210" t="s">
        <v>14</v>
      </c>
      <c r="H210">
        <v>28050380</v>
      </c>
      <c r="I210" t="s">
        <v>48</v>
      </c>
      <c r="J210">
        <v>3</v>
      </c>
      <c r="K210">
        <v>48</v>
      </c>
    </row>
    <row r="211" spans="1:11" x14ac:dyDescent="0.3">
      <c r="A211">
        <v>2026</v>
      </c>
      <c r="B211">
        <v>1</v>
      </c>
      <c r="C211" t="s">
        <v>11</v>
      </c>
      <c r="D211" t="s">
        <v>111</v>
      </c>
      <c r="E211" t="str">
        <f>TEXT(11349776000138,"00000000000000")</f>
        <v>11349776000138</v>
      </c>
      <c r="F211" t="s">
        <v>112</v>
      </c>
      <c r="G211" t="s">
        <v>14</v>
      </c>
      <c r="H211">
        <v>28050410</v>
      </c>
      <c r="I211" t="s">
        <v>118</v>
      </c>
      <c r="J211">
        <v>2</v>
      </c>
      <c r="K211">
        <v>46.56</v>
      </c>
    </row>
    <row r="212" spans="1:11" x14ac:dyDescent="0.3">
      <c r="A212">
        <v>2026</v>
      </c>
      <c r="B212">
        <v>1</v>
      </c>
      <c r="C212" t="s">
        <v>11</v>
      </c>
      <c r="D212" t="s">
        <v>111</v>
      </c>
      <c r="E212" t="str">
        <f>TEXT(11349776000138,"00000000000000")</f>
        <v>11349776000138</v>
      </c>
      <c r="F212" t="s">
        <v>112</v>
      </c>
      <c r="G212" t="s">
        <v>14</v>
      </c>
      <c r="H212">
        <v>28050436</v>
      </c>
      <c r="I212" t="s">
        <v>104</v>
      </c>
      <c r="J212">
        <v>2</v>
      </c>
      <c r="K212">
        <v>44.8</v>
      </c>
    </row>
    <row r="213" spans="1:11" x14ac:dyDescent="0.3">
      <c r="A213">
        <v>2026</v>
      </c>
      <c r="B213">
        <v>1</v>
      </c>
      <c r="C213" t="s">
        <v>11</v>
      </c>
      <c r="D213" t="s">
        <v>111</v>
      </c>
      <c r="E213" t="str">
        <f>TEXT(11349776000138,"00000000000000")</f>
        <v>11349776000138</v>
      </c>
      <c r="F213" t="s">
        <v>112</v>
      </c>
      <c r="G213" t="s">
        <v>14</v>
      </c>
      <c r="H213">
        <v>28050690</v>
      </c>
      <c r="I213" t="s">
        <v>49</v>
      </c>
      <c r="J213">
        <v>6</v>
      </c>
      <c r="K213">
        <v>139.19999999999999</v>
      </c>
    </row>
    <row r="214" spans="1:11" x14ac:dyDescent="0.3">
      <c r="A214">
        <v>2026</v>
      </c>
      <c r="B214">
        <v>1</v>
      </c>
      <c r="C214" t="s">
        <v>11</v>
      </c>
      <c r="D214" t="s">
        <v>111</v>
      </c>
      <c r="E214" t="str">
        <f>TEXT(11349776000138,"00000000000000")</f>
        <v>11349776000138</v>
      </c>
      <c r="F214" t="s">
        <v>112</v>
      </c>
      <c r="G214" t="s">
        <v>14</v>
      </c>
      <c r="H214">
        <v>28050703</v>
      </c>
      <c r="I214" t="s">
        <v>50</v>
      </c>
      <c r="J214">
        <v>14</v>
      </c>
      <c r="K214">
        <v>268.8</v>
      </c>
    </row>
    <row r="215" spans="1:11" x14ac:dyDescent="0.3">
      <c r="A215">
        <v>2026</v>
      </c>
      <c r="B215">
        <v>1</v>
      </c>
      <c r="C215" t="s">
        <v>11</v>
      </c>
      <c r="D215" t="s">
        <v>111</v>
      </c>
      <c r="E215" t="str">
        <f>TEXT(11349776000138,"00000000000000")</f>
        <v>11349776000138</v>
      </c>
      <c r="F215" t="s">
        <v>112</v>
      </c>
      <c r="G215" t="s">
        <v>14</v>
      </c>
      <c r="H215">
        <v>28050720</v>
      </c>
      <c r="I215" t="s">
        <v>51</v>
      </c>
      <c r="J215">
        <v>13</v>
      </c>
      <c r="K215">
        <v>249.6</v>
      </c>
    </row>
    <row r="216" spans="1:11" x14ac:dyDescent="0.3">
      <c r="A216">
        <v>2026</v>
      </c>
      <c r="B216">
        <v>1</v>
      </c>
      <c r="C216" t="s">
        <v>11</v>
      </c>
      <c r="D216" t="s">
        <v>111</v>
      </c>
      <c r="E216" t="str">
        <f>TEXT(11349776000138,"00000000000000")</f>
        <v>11349776000138</v>
      </c>
      <c r="F216" t="s">
        <v>112</v>
      </c>
      <c r="G216" t="s">
        <v>14</v>
      </c>
      <c r="H216">
        <v>28050754</v>
      </c>
      <c r="I216" t="s">
        <v>119</v>
      </c>
      <c r="J216">
        <v>1</v>
      </c>
      <c r="K216">
        <v>44.88</v>
      </c>
    </row>
    <row r="217" spans="1:11" x14ac:dyDescent="0.3">
      <c r="A217">
        <v>2026</v>
      </c>
      <c r="B217">
        <v>1</v>
      </c>
      <c r="C217" t="s">
        <v>11</v>
      </c>
      <c r="D217" t="s">
        <v>111</v>
      </c>
      <c r="E217" t="str">
        <f>TEXT(11349776000138,"00000000000000")</f>
        <v>11349776000138</v>
      </c>
      <c r="F217" t="s">
        <v>112</v>
      </c>
      <c r="G217" t="s">
        <v>14</v>
      </c>
      <c r="H217">
        <v>28050770</v>
      </c>
      <c r="I217" t="s">
        <v>53</v>
      </c>
      <c r="J217">
        <v>5</v>
      </c>
      <c r="K217">
        <v>160</v>
      </c>
    </row>
    <row r="218" spans="1:11" x14ac:dyDescent="0.3">
      <c r="A218">
        <v>2026</v>
      </c>
      <c r="B218">
        <v>1</v>
      </c>
      <c r="C218" t="s">
        <v>11</v>
      </c>
      <c r="D218" t="s">
        <v>111</v>
      </c>
      <c r="E218" t="str">
        <f>TEXT(11349776000138,"00000000000000")</f>
        <v>11349776000138</v>
      </c>
      <c r="F218" t="s">
        <v>112</v>
      </c>
      <c r="G218" t="s">
        <v>14</v>
      </c>
      <c r="H218">
        <v>28050800</v>
      </c>
      <c r="I218" t="s">
        <v>54</v>
      </c>
      <c r="J218">
        <v>1</v>
      </c>
      <c r="K218">
        <v>32</v>
      </c>
    </row>
    <row r="219" spans="1:11" x14ac:dyDescent="0.3">
      <c r="A219">
        <v>2026</v>
      </c>
      <c r="B219">
        <v>1</v>
      </c>
      <c r="C219" t="s">
        <v>11</v>
      </c>
      <c r="D219" t="s">
        <v>111</v>
      </c>
      <c r="E219" t="str">
        <f>TEXT(11349776000138,"00000000000000")</f>
        <v>11349776000138</v>
      </c>
      <c r="F219" t="s">
        <v>112</v>
      </c>
      <c r="G219" t="s">
        <v>14</v>
      </c>
      <c r="H219">
        <v>28050827</v>
      </c>
      <c r="I219" t="s">
        <v>55</v>
      </c>
      <c r="J219">
        <v>3</v>
      </c>
      <c r="K219">
        <v>54.48</v>
      </c>
    </row>
    <row r="220" spans="1:11" x14ac:dyDescent="0.3">
      <c r="A220">
        <v>2026</v>
      </c>
      <c r="B220">
        <v>1</v>
      </c>
      <c r="C220" t="s">
        <v>11</v>
      </c>
      <c r="D220" t="s">
        <v>111</v>
      </c>
      <c r="E220" t="str">
        <f>TEXT(11349776000138,"00000000000000")</f>
        <v>11349776000138</v>
      </c>
      <c r="F220" t="s">
        <v>112</v>
      </c>
      <c r="G220" t="s">
        <v>14</v>
      </c>
      <c r="H220">
        <v>28050983</v>
      </c>
      <c r="I220" t="s">
        <v>120</v>
      </c>
      <c r="J220">
        <v>3</v>
      </c>
      <c r="K220">
        <v>150</v>
      </c>
    </row>
    <row r="221" spans="1:11" x14ac:dyDescent="0.3">
      <c r="A221">
        <v>2026</v>
      </c>
      <c r="B221">
        <v>1</v>
      </c>
      <c r="C221" t="s">
        <v>11</v>
      </c>
      <c r="D221" t="s">
        <v>111</v>
      </c>
      <c r="E221" t="str">
        <f>TEXT(11349776000138,"00000000000000")</f>
        <v>11349776000138</v>
      </c>
      <c r="F221" t="s">
        <v>112</v>
      </c>
      <c r="G221" t="s">
        <v>14</v>
      </c>
      <c r="H221">
        <v>28050991</v>
      </c>
      <c r="I221" t="s">
        <v>56</v>
      </c>
      <c r="J221">
        <v>14</v>
      </c>
      <c r="K221">
        <v>425.6</v>
      </c>
    </row>
    <row r="222" spans="1:11" x14ac:dyDescent="0.3">
      <c r="A222">
        <v>2026</v>
      </c>
      <c r="B222">
        <v>1</v>
      </c>
      <c r="C222" t="s">
        <v>11</v>
      </c>
      <c r="D222" t="s">
        <v>111</v>
      </c>
      <c r="E222" t="str">
        <f>TEXT(11349776000138,"00000000000000")</f>
        <v>11349776000138</v>
      </c>
      <c r="F222" t="s">
        <v>112</v>
      </c>
      <c r="G222" t="s">
        <v>14</v>
      </c>
      <c r="H222">
        <v>28060083</v>
      </c>
      <c r="I222" t="s">
        <v>86</v>
      </c>
      <c r="J222">
        <v>1</v>
      </c>
      <c r="K222">
        <v>17.12</v>
      </c>
    </row>
    <row r="223" spans="1:11" x14ac:dyDescent="0.3">
      <c r="A223">
        <v>2026</v>
      </c>
      <c r="B223">
        <v>1</v>
      </c>
      <c r="C223" t="s">
        <v>11</v>
      </c>
      <c r="D223" t="s">
        <v>111</v>
      </c>
      <c r="E223" t="str">
        <f>TEXT(11349776000138,"00000000000000")</f>
        <v>11349776000138</v>
      </c>
      <c r="F223" t="s">
        <v>112</v>
      </c>
      <c r="G223" t="s">
        <v>14</v>
      </c>
      <c r="H223">
        <v>28060156</v>
      </c>
      <c r="I223" t="s">
        <v>57</v>
      </c>
      <c r="J223">
        <v>1</v>
      </c>
      <c r="K223">
        <v>22.64</v>
      </c>
    </row>
    <row r="224" spans="1:11" x14ac:dyDescent="0.3">
      <c r="A224">
        <v>2026</v>
      </c>
      <c r="B224">
        <v>1</v>
      </c>
      <c r="C224" t="s">
        <v>11</v>
      </c>
      <c r="D224" t="s">
        <v>111</v>
      </c>
      <c r="E224" t="str">
        <f>TEXT(11349776000138,"00000000000000")</f>
        <v>11349776000138</v>
      </c>
      <c r="F224" t="s">
        <v>112</v>
      </c>
      <c r="G224" t="s">
        <v>14</v>
      </c>
      <c r="H224">
        <v>28060210</v>
      </c>
      <c r="I224" t="s">
        <v>58</v>
      </c>
      <c r="J224">
        <v>2</v>
      </c>
      <c r="K224">
        <v>30.4</v>
      </c>
    </row>
    <row r="225" spans="1:11" x14ac:dyDescent="0.3">
      <c r="A225">
        <v>2026</v>
      </c>
      <c r="B225">
        <v>1</v>
      </c>
      <c r="C225" t="s">
        <v>11</v>
      </c>
      <c r="D225" t="s">
        <v>111</v>
      </c>
      <c r="E225" t="str">
        <f>TEXT(11349776000138,"00000000000000")</f>
        <v>11349776000138</v>
      </c>
      <c r="F225" t="s">
        <v>112</v>
      </c>
      <c r="G225" t="s">
        <v>14</v>
      </c>
      <c r="H225">
        <v>28060229</v>
      </c>
      <c r="I225" t="s">
        <v>89</v>
      </c>
      <c r="J225">
        <v>1</v>
      </c>
      <c r="K225">
        <v>40</v>
      </c>
    </row>
    <row r="226" spans="1:11" x14ac:dyDescent="0.3">
      <c r="A226">
        <v>2026</v>
      </c>
      <c r="B226">
        <v>1</v>
      </c>
      <c r="C226" t="s">
        <v>11</v>
      </c>
      <c r="D226" t="s">
        <v>111</v>
      </c>
      <c r="E226" t="str">
        <f>TEXT(11349776000138,"00000000000000")</f>
        <v>11349776000138</v>
      </c>
      <c r="F226" t="s">
        <v>112</v>
      </c>
      <c r="G226" t="s">
        <v>14</v>
      </c>
      <c r="H226">
        <v>28060865</v>
      </c>
      <c r="I226" t="s">
        <v>108</v>
      </c>
      <c r="J226">
        <v>1</v>
      </c>
      <c r="K226">
        <v>14.4</v>
      </c>
    </row>
    <row r="227" spans="1:11" x14ac:dyDescent="0.3">
      <c r="A227">
        <v>2026</v>
      </c>
      <c r="B227">
        <v>1</v>
      </c>
      <c r="C227" t="s">
        <v>11</v>
      </c>
      <c r="D227" t="s">
        <v>111</v>
      </c>
      <c r="E227" t="str">
        <f>TEXT(11349776000138,"00000000000000")</f>
        <v>11349776000138</v>
      </c>
      <c r="F227" t="s">
        <v>112</v>
      </c>
      <c r="G227" t="s">
        <v>14</v>
      </c>
      <c r="H227">
        <v>28060873</v>
      </c>
      <c r="I227" t="s">
        <v>61</v>
      </c>
      <c r="J227">
        <v>4</v>
      </c>
      <c r="K227">
        <v>12.8</v>
      </c>
    </row>
    <row r="228" spans="1:11" x14ac:dyDescent="0.3">
      <c r="A228">
        <v>2026</v>
      </c>
      <c r="B228">
        <v>1</v>
      </c>
      <c r="C228" t="s">
        <v>11</v>
      </c>
      <c r="D228" t="s">
        <v>111</v>
      </c>
      <c r="E228" t="str">
        <f>TEXT(11349776000138,"00000000000000")</f>
        <v>11349776000138</v>
      </c>
      <c r="F228" t="s">
        <v>112</v>
      </c>
      <c r="G228" t="s">
        <v>14</v>
      </c>
      <c r="H228">
        <v>28061004</v>
      </c>
      <c r="I228" t="s">
        <v>62</v>
      </c>
      <c r="J228">
        <v>2</v>
      </c>
      <c r="K228">
        <v>7.68</v>
      </c>
    </row>
    <row r="229" spans="1:11" x14ac:dyDescent="0.3">
      <c r="A229">
        <v>2026</v>
      </c>
      <c r="B229">
        <v>1</v>
      </c>
      <c r="C229" t="s">
        <v>11</v>
      </c>
      <c r="D229" t="s">
        <v>111</v>
      </c>
      <c r="E229" t="str">
        <f>TEXT(11349776000138,"00000000000000")</f>
        <v>11349776000138</v>
      </c>
      <c r="F229" t="s">
        <v>112</v>
      </c>
      <c r="G229" t="s">
        <v>14</v>
      </c>
      <c r="H229">
        <v>28061659</v>
      </c>
      <c r="I229" t="s">
        <v>63</v>
      </c>
      <c r="J229">
        <v>1</v>
      </c>
      <c r="K229">
        <v>43.2</v>
      </c>
    </row>
    <row r="230" spans="1:11" x14ac:dyDescent="0.3">
      <c r="A230">
        <v>2026</v>
      </c>
      <c r="B230">
        <v>1</v>
      </c>
      <c r="C230" t="s">
        <v>11</v>
      </c>
      <c r="D230" t="s">
        <v>111</v>
      </c>
      <c r="E230" t="str">
        <f>TEXT(11349776000138,"00000000000000")</f>
        <v>11349776000138</v>
      </c>
      <c r="F230" t="s">
        <v>112</v>
      </c>
      <c r="G230" t="s">
        <v>14</v>
      </c>
      <c r="H230">
        <v>28062515</v>
      </c>
      <c r="I230" t="s">
        <v>66</v>
      </c>
      <c r="J230">
        <v>8</v>
      </c>
      <c r="K230">
        <v>396.8</v>
      </c>
    </row>
    <row r="231" spans="1:11" x14ac:dyDescent="0.3">
      <c r="A231">
        <v>2026</v>
      </c>
      <c r="B231">
        <v>1</v>
      </c>
      <c r="C231" t="s">
        <v>11</v>
      </c>
      <c r="D231" t="s">
        <v>111</v>
      </c>
      <c r="E231" t="str">
        <f>TEXT(11349776000138,"00000000000000")</f>
        <v>11349776000138</v>
      </c>
      <c r="F231" t="s">
        <v>112</v>
      </c>
      <c r="G231" t="s">
        <v>14</v>
      </c>
      <c r="H231">
        <v>28100034</v>
      </c>
      <c r="I231" t="s">
        <v>121</v>
      </c>
      <c r="J231">
        <v>3</v>
      </c>
      <c r="K231">
        <v>13.44</v>
      </c>
    </row>
    <row r="232" spans="1:11" x14ac:dyDescent="0.3">
      <c r="A232">
        <v>2026</v>
      </c>
      <c r="B232">
        <v>1</v>
      </c>
      <c r="C232" t="s">
        <v>11</v>
      </c>
      <c r="D232" t="s">
        <v>111</v>
      </c>
      <c r="E232" t="str">
        <f>TEXT(11349776000138,"00000000000000")</f>
        <v>11349776000138</v>
      </c>
      <c r="F232" t="s">
        <v>112</v>
      </c>
      <c r="G232" t="s">
        <v>14</v>
      </c>
      <c r="H232">
        <v>28100549</v>
      </c>
      <c r="I232" t="s">
        <v>68</v>
      </c>
      <c r="J232">
        <v>3</v>
      </c>
      <c r="K232">
        <v>31.8</v>
      </c>
    </row>
    <row r="233" spans="1:11" x14ac:dyDescent="0.3">
      <c r="A233">
        <v>2026</v>
      </c>
      <c r="B233">
        <v>1</v>
      </c>
      <c r="C233" t="s">
        <v>11</v>
      </c>
      <c r="D233" t="s">
        <v>111</v>
      </c>
      <c r="E233" t="str">
        <f>TEXT(11349776000138,"00000000000000")</f>
        <v>11349776000138</v>
      </c>
      <c r="F233" t="s">
        <v>112</v>
      </c>
      <c r="G233" t="s">
        <v>14</v>
      </c>
      <c r="H233">
        <v>28130367</v>
      </c>
      <c r="I233" t="s">
        <v>69</v>
      </c>
      <c r="J233">
        <v>10</v>
      </c>
      <c r="K233">
        <v>38.4</v>
      </c>
    </row>
    <row r="234" spans="1:11" x14ac:dyDescent="0.3">
      <c r="A234">
        <v>2026</v>
      </c>
      <c r="B234">
        <v>1</v>
      </c>
      <c r="C234" t="s">
        <v>11</v>
      </c>
      <c r="D234" t="s">
        <v>111</v>
      </c>
      <c r="E234" t="str">
        <f>TEXT(11351301000186,"00000000000000")</f>
        <v>11351301000186</v>
      </c>
      <c r="F234" t="s">
        <v>122</v>
      </c>
      <c r="G234" t="s">
        <v>123</v>
      </c>
      <c r="H234">
        <v>2001002</v>
      </c>
      <c r="I234" t="s">
        <v>124</v>
      </c>
      <c r="J234">
        <v>8</v>
      </c>
      <c r="K234">
        <v>136</v>
      </c>
    </row>
    <row r="235" spans="1:11" x14ac:dyDescent="0.3">
      <c r="A235">
        <v>2026</v>
      </c>
      <c r="B235">
        <v>1</v>
      </c>
      <c r="C235" t="s">
        <v>11</v>
      </c>
      <c r="D235" t="s">
        <v>111</v>
      </c>
      <c r="E235" t="str">
        <f>TEXT(11351301000186,"00000000000000")</f>
        <v>11351301000186</v>
      </c>
      <c r="F235" t="s">
        <v>122</v>
      </c>
      <c r="G235" t="s">
        <v>123</v>
      </c>
      <c r="H235">
        <v>2001012</v>
      </c>
      <c r="I235" t="s">
        <v>125</v>
      </c>
      <c r="J235">
        <v>10</v>
      </c>
      <c r="K235">
        <v>572</v>
      </c>
    </row>
    <row r="236" spans="1:11" x14ac:dyDescent="0.3">
      <c r="A236">
        <v>2026</v>
      </c>
      <c r="B236">
        <v>1</v>
      </c>
      <c r="C236" t="s">
        <v>11</v>
      </c>
      <c r="D236" t="s">
        <v>111</v>
      </c>
      <c r="E236" t="str">
        <f>TEXT(11351301000186,"00000000000000")</f>
        <v>11351301000186</v>
      </c>
      <c r="F236" t="s">
        <v>122</v>
      </c>
      <c r="G236" t="s">
        <v>123</v>
      </c>
      <c r="H236">
        <v>5001005</v>
      </c>
      <c r="I236" t="s">
        <v>126</v>
      </c>
      <c r="J236">
        <v>512</v>
      </c>
      <c r="K236">
        <v>157.5</v>
      </c>
    </row>
    <row r="237" spans="1:11" x14ac:dyDescent="0.3">
      <c r="A237">
        <v>2026</v>
      </c>
      <c r="B237">
        <v>1</v>
      </c>
      <c r="C237" t="s">
        <v>11</v>
      </c>
      <c r="D237" t="s">
        <v>111</v>
      </c>
      <c r="E237" t="str">
        <f>TEXT(11351301000186,"00000000000000")</f>
        <v>11351301000186</v>
      </c>
      <c r="F237" t="s">
        <v>122</v>
      </c>
      <c r="G237" t="s">
        <v>14</v>
      </c>
      <c r="H237">
        <v>10065</v>
      </c>
      <c r="I237" t="s">
        <v>127</v>
      </c>
      <c r="J237">
        <v>48</v>
      </c>
      <c r="K237">
        <v>2400</v>
      </c>
    </row>
    <row r="238" spans="1:11" x14ac:dyDescent="0.3">
      <c r="A238">
        <v>2026</v>
      </c>
      <c r="B238">
        <v>1</v>
      </c>
      <c r="C238" t="s">
        <v>11</v>
      </c>
      <c r="D238" t="s">
        <v>111</v>
      </c>
      <c r="E238" t="str">
        <f>TEXT(11351301000186,"00000000000000")</f>
        <v>11351301000186</v>
      </c>
      <c r="F238" t="s">
        <v>122</v>
      </c>
      <c r="G238" t="s">
        <v>14</v>
      </c>
      <c r="H238">
        <v>10561</v>
      </c>
      <c r="I238" t="s">
        <v>128</v>
      </c>
      <c r="J238">
        <v>16</v>
      </c>
      <c r="K238">
        <v>800</v>
      </c>
    </row>
    <row r="239" spans="1:11" x14ac:dyDescent="0.3">
      <c r="A239">
        <v>2026</v>
      </c>
      <c r="B239">
        <v>1</v>
      </c>
      <c r="C239" t="s">
        <v>11</v>
      </c>
      <c r="D239" t="s">
        <v>111</v>
      </c>
      <c r="E239" t="str">
        <f>TEXT(11351301000186,"00000000000000")</f>
        <v>11351301000186</v>
      </c>
      <c r="F239" t="s">
        <v>122</v>
      </c>
      <c r="G239" t="s">
        <v>14</v>
      </c>
      <c r="H239">
        <v>10979</v>
      </c>
      <c r="I239" t="s">
        <v>129</v>
      </c>
      <c r="J239">
        <v>12</v>
      </c>
      <c r="K239">
        <v>600</v>
      </c>
    </row>
    <row r="240" spans="1:11" x14ac:dyDescent="0.3">
      <c r="A240">
        <v>2026</v>
      </c>
      <c r="B240">
        <v>1</v>
      </c>
      <c r="C240" t="s">
        <v>11</v>
      </c>
      <c r="D240" t="s">
        <v>111</v>
      </c>
      <c r="E240" t="str">
        <f>TEXT(11351301000186,"00000000000000")</f>
        <v>11351301000186</v>
      </c>
      <c r="F240" t="s">
        <v>122</v>
      </c>
      <c r="G240" t="s">
        <v>14</v>
      </c>
      <c r="H240">
        <v>20010</v>
      </c>
      <c r="I240" t="s">
        <v>130</v>
      </c>
      <c r="J240">
        <v>6</v>
      </c>
      <c r="K240">
        <v>153.84</v>
      </c>
    </row>
    <row r="241" spans="1:11" x14ac:dyDescent="0.3">
      <c r="A241">
        <v>2026</v>
      </c>
      <c r="B241">
        <v>1</v>
      </c>
      <c r="C241" t="s">
        <v>11</v>
      </c>
      <c r="D241" t="s">
        <v>111</v>
      </c>
      <c r="E241" t="str">
        <f>TEXT(11351301000186,"00000000000000")</f>
        <v>11351301000186</v>
      </c>
      <c r="F241" t="s">
        <v>122</v>
      </c>
      <c r="G241" t="s">
        <v>14</v>
      </c>
      <c r="H241">
        <v>3001007</v>
      </c>
      <c r="I241" t="s">
        <v>131</v>
      </c>
      <c r="J241">
        <v>6</v>
      </c>
      <c r="K241">
        <v>1056</v>
      </c>
    </row>
    <row r="242" spans="1:11" x14ac:dyDescent="0.3">
      <c r="A242">
        <v>2026</v>
      </c>
      <c r="B242">
        <v>1</v>
      </c>
      <c r="C242" t="s">
        <v>11</v>
      </c>
      <c r="D242" t="s">
        <v>111</v>
      </c>
      <c r="E242" t="str">
        <f>TEXT(11351301000186,"00000000000000")</f>
        <v>11351301000186</v>
      </c>
      <c r="F242" t="s">
        <v>122</v>
      </c>
      <c r="G242" t="s">
        <v>14</v>
      </c>
      <c r="H242">
        <v>3001014</v>
      </c>
      <c r="I242" t="s">
        <v>132</v>
      </c>
      <c r="J242">
        <v>1</v>
      </c>
      <c r="K242">
        <v>16.5</v>
      </c>
    </row>
    <row r="243" spans="1:11" x14ac:dyDescent="0.3">
      <c r="A243">
        <v>2026</v>
      </c>
      <c r="B243">
        <v>1</v>
      </c>
      <c r="C243" t="s">
        <v>11</v>
      </c>
      <c r="D243" t="s">
        <v>111</v>
      </c>
      <c r="E243" t="str">
        <f>TEXT(11351301000186,"00000000000000")</f>
        <v>11351301000186</v>
      </c>
      <c r="F243" t="s">
        <v>122</v>
      </c>
      <c r="G243" t="s">
        <v>14</v>
      </c>
      <c r="H243">
        <v>20010010</v>
      </c>
      <c r="I243" t="s">
        <v>133</v>
      </c>
      <c r="J243">
        <v>5</v>
      </c>
      <c r="K243">
        <v>95</v>
      </c>
    </row>
    <row r="244" spans="1:11" x14ac:dyDescent="0.3">
      <c r="A244">
        <v>2026</v>
      </c>
      <c r="B244">
        <v>1</v>
      </c>
      <c r="C244" t="s">
        <v>11</v>
      </c>
      <c r="D244" t="s">
        <v>111</v>
      </c>
      <c r="E244" t="str">
        <f>TEXT(11351301000186,"00000000000000")</f>
        <v>11351301000186</v>
      </c>
      <c r="F244" t="s">
        <v>122</v>
      </c>
      <c r="G244" t="s">
        <v>14</v>
      </c>
      <c r="H244">
        <v>32010079</v>
      </c>
      <c r="I244" t="s">
        <v>134</v>
      </c>
      <c r="J244">
        <v>1</v>
      </c>
      <c r="K244">
        <v>33.630000000000003</v>
      </c>
    </row>
    <row r="245" spans="1:11" x14ac:dyDescent="0.3">
      <c r="A245">
        <v>2026</v>
      </c>
      <c r="B245">
        <v>1</v>
      </c>
      <c r="C245" t="s">
        <v>11</v>
      </c>
      <c r="D245" t="s">
        <v>111</v>
      </c>
      <c r="E245" t="str">
        <f>TEXT(11351301000186,"00000000000000")</f>
        <v>11351301000186</v>
      </c>
      <c r="F245" t="s">
        <v>122</v>
      </c>
      <c r="G245" t="s">
        <v>14</v>
      </c>
      <c r="H245">
        <v>32020023</v>
      </c>
      <c r="I245" t="s">
        <v>135</v>
      </c>
      <c r="J245">
        <v>1</v>
      </c>
      <c r="K245">
        <v>23.31</v>
      </c>
    </row>
    <row r="246" spans="1:11" x14ac:dyDescent="0.3">
      <c r="A246">
        <v>2026</v>
      </c>
      <c r="B246">
        <v>1</v>
      </c>
      <c r="C246" t="s">
        <v>11</v>
      </c>
      <c r="D246" t="s">
        <v>111</v>
      </c>
      <c r="E246" t="str">
        <f>TEXT(11351301000186,"00000000000000")</f>
        <v>11351301000186</v>
      </c>
      <c r="F246" t="s">
        <v>122</v>
      </c>
      <c r="G246" t="s">
        <v>14</v>
      </c>
      <c r="H246">
        <v>32020040</v>
      </c>
      <c r="I246" t="s">
        <v>136</v>
      </c>
      <c r="J246">
        <v>1</v>
      </c>
      <c r="K246">
        <v>35.79</v>
      </c>
    </row>
    <row r="247" spans="1:11" x14ac:dyDescent="0.3">
      <c r="A247">
        <v>2026</v>
      </c>
      <c r="B247">
        <v>1</v>
      </c>
      <c r="C247" t="s">
        <v>11</v>
      </c>
      <c r="D247" t="s">
        <v>111</v>
      </c>
      <c r="E247" t="str">
        <f>TEXT(11351301000186,"00000000000000")</f>
        <v>11351301000186</v>
      </c>
      <c r="F247" t="s">
        <v>122</v>
      </c>
      <c r="G247" t="s">
        <v>14</v>
      </c>
      <c r="H247">
        <v>32020066</v>
      </c>
      <c r="I247" t="s">
        <v>137</v>
      </c>
      <c r="J247">
        <v>2</v>
      </c>
      <c r="K247">
        <v>75.260000000000005</v>
      </c>
    </row>
    <row r="248" spans="1:11" x14ac:dyDescent="0.3">
      <c r="A248">
        <v>2026</v>
      </c>
      <c r="B248">
        <v>1</v>
      </c>
      <c r="C248" t="s">
        <v>11</v>
      </c>
      <c r="D248" t="s">
        <v>111</v>
      </c>
      <c r="E248" t="str">
        <f>TEXT(11351301000186,"00000000000000")</f>
        <v>11351301000186</v>
      </c>
      <c r="F248" t="s">
        <v>122</v>
      </c>
      <c r="G248" t="s">
        <v>14</v>
      </c>
      <c r="H248">
        <v>32030053</v>
      </c>
      <c r="I248" t="s">
        <v>138</v>
      </c>
      <c r="J248">
        <v>1</v>
      </c>
      <c r="K248">
        <v>34.35</v>
      </c>
    </row>
    <row r="249" spans="1:11" x14ac:dyDescent="0.3">
      <c r="A249">
        <v>2026</v>
      </c>
      <c r="B249">
        <v>1</v>
      </c>
      <c r="C249" t="s">
        <v>11</v>
      </c>
      <c r="D249" t="s">
        <v>111</v>
      </c>
      <c r="E249" t="str">
        <f>TEXT(11351301000186,"00000000000000")</f>
        <v>11351301000186</v>
      </c>
      <c r="F249" t="s">
        <v>122</v>
      </c>
      <c r="G249" t="s">
        <v>14</v>
      </c>
      <c r="H249">
        <v>32040040</v>
      </c>
      <c r="I249" t="s">
        <v>139</v>
      </c>
      <c r="J249">
        <v>2</v>
      </c>
      <c r="K249">
        <v>67.48</v>
      </c>
    </row>
    <row r="250" spans="1:11" x14ac:dyDescent="0.3">
      <c r="A250">
        <v>2026</v>
      </c>
      <c r="B250">
        <v>1</v>
      </c>
      <c r="C250" t="s">
        <v>11</v>
      </c>
      <c r="D250" t="s">
        <v>111</v>
      </c>
      <c r="E250" t="str">
        <f>TEXT(11351301000186,"00000000000000")</f>
        <v>11351301000186</v>
      </c>
      <c r="F250" t="s">
        <v>122</v>
      </c>
      <c r="G250" t="s">
        <v>14</v>
      </c>
      <c r="H250">
        <v>32040067</v>
      </c>
      <c r="I250" t="s">
        <v>140</v>
      </c>
      <c r="J250">
        <v>1</v>
      </c>
      <c r="K250">
        <v>31.7</v>
      </c>
    </row>
    <row r="251" spans="1:11" x14ac:dyDescent="0.3">
      <c r="A251">
        <v>2026</v>
      </c>
      <c r="B251">
        <v>1</v>
      </c>
      <c r="C251" t="s">
        <v>11</v>
      </c>
      <c r="D251" t="s">
        <v>111</v>
      </c>
      <c r="E251" t="str">
        <f>TEXT(11351301000186,"00000000000000")</f>
        <v>11351301000186</v>
      </c>
      <c r="F251" t="s">
        <v>122</v>
      </c>
      <c r="G251" t="s">
        <v>14</v>
      </c>
      <c r="H251">
        <v>32040075</v>
      </c>
      <c r="I251" t="s">
        <v>141</v>
      </c>
      <c r="J251">
        <v>3</v>
      </c>
      <c r="K251">
        <v>95.1</v>
      </c>
    </row>
    <row r="252" spans="1:11" x14ac:dyDescent="0.3">
      <c r="A252">
        <v>2026</v>
      </c>
      <c r="B252">
        <v>1</v>
      </c>
      <c r="C252" t="s">
        <v>11</v>
      </c>
      <c r="D252" t="s">
        <v>111</v>
      </c>
      <c r="E252" t="str">
        <f>TEXT(11351301000186,"00000000000000")</f>
        <v>11351301000186</v>
      </c>
      <c r="F252" t="s">
        <v>122</v>
      </c>
      <c r="G252" t="s">
        <v>14</v>
      </c>
      <c r="H252">
        <v>32040091</v>
      </c>
      <c r="I252" t="s">
        <v>142</v>
      </c>
      <c r="J252">
        <v>1</v>
      </c>
      <c r="K252">
        <v>28.5</v>
      </c>
    </row>
    <row r="253" spans="1:11" x14ac:dyDescent="0.3">
      <c r="A253">
        <v>2026</v>
      </c>
      <c r="B253">
        <v>1</v>
      </c>
      <c r="C253" t="s">
        <v>11</v>
      </c>
      <c r="D253" t="s">
        <v>111</v>
      </c>
      <c r="E253" t="str">
        <f>TEXT(11351301000186,"00000000000000")</f>
        <v>11351301000186</v>
      </c>
      <c r="F253" t="s">
        <v>122</v>
      </c>
      <c r="G253" t="s">
        <v>14</v>
      </c>
      <c r="H253">
        <v>32040105</v>
      </c>
      <c r="I253" t="s">
        <v>143</v>
      </c>
      <c r="J253">
        <v>3</v>
      </c>
      <c r="K253">
        <v>95.1</v>
      </c>
    </row>
    <row r="254" spans="1:11" x14ac:dyDescent="0.3">
      <c r="A254">
        <v>2026</v>
      </c>
      <c r="B254">
        <v>1</v>
      </c>
      <c r="C254" t="s">
        <v>11</v>
      </c>
      <c r="D254" t="s">
        <v>111</v>
      </c>
      <c r="E254" t="str">
        <f>TEXT(11351301000186,"00000000000000")</f>
        <v>11351301000186</v>
      </c>
      <c r="F254" t="s">
        <v>122</v>
      </c>
      <c r="G254" t="s">
        <v>14</v>
      </c>
      <c r="H254">
        <v>32050038</v>
      </c>
      <c r="I254" t="s">
        <v>144</v>
      </c>
      <c r="J254">
        <v>3</v>
      </c>
      <c r="K254">
        <v>78.92</v>
      </c>
    </row>
    <row r="255" spans="1:11" x14ac:dyDescent="0.3">
      <c r="A255">
        <v>2026</v>
      </c>
      <c r="B255">
        <v>1</v>
      </c>
      <c r="C255" t="s">
        <v>11</v>
      </c>
      <c r="D255" t="s">
        <v>111</v>
      </c>
      <c r="E255" t="str">
        <f>TEXT(11351301000186,"00000000000000")</f>
        <v>11351301000186</v>
      </c>
      <c r="F255" t="s">
        <v>122</v>
      </c>
      <c r="G255" t="s">
        <v>14</v>
      </c>
      <c r="H255">
        <v>32050054</v>
      </c>
      <c r="I255" t="s">
        <v>145</v>
      </c>
      <c r="J255">
        <v>4</v>
      </c>
      <c r="K255">
        <v>134.86000000000001</v>
      </c>
    </row>
    <row r="256" spans="1:11" x14ac:dyDescent="0.3">
      <c r="A256">
        <v>2026</v>
      </c>
      <c r="B256">
        <v>1</v>
      </c>
      <c r="C256" t="s">
        <v>11</v>
      </c>
      <c r="D256" t="s">
        <v>111</v>
      </c>
      <c r="E256" t="str">
        <f>TEXT(11351301000186,"00000000000000")</f>
        <v>11351301000186</v>
      </c>
      <c r="F256" t="s">
        <v>122</v>
      </c>
      <c r="G256" t="s">
        <v>14</v>
      </c>
      <c r="H256">
        <v>32080050</v>
      </c>
      <c r="I256" t="s">
        <v>146</v>
      </c>
      <c r="J256">
        <v>4</v>
      </c>
      <c r="K256">
        <v>265.83999999999997</v>
      </c>
    </row>
    <row r="257" spans="1:11" x14ac:dyDescent="0.3">
      <c r="A257">
        <v>2026</v>
      </c>
      <c r="B257">
        <v>1</v>
      </c>
      <c r="C257" t="s">
        <v>11</v>
      </c>
      <c r="D257" t="s">
        <v>111</v>
      </c>
      <c r="E257" t="str">
        <f>TEXT(11351301000186,"00000000000000")</f>
        <v>11351301000186</v>
      </c>
      <c r="F257" t="s">
        <v>122</v>
      </c>
      <c r="G257" t="s">
        <v>14</v>
      </c>
      <c r="H257">
        <v>32080115</v>
      </c>
      <c r="I257" t="s">
        <v>147</v>
      </c>
      <c r="J257">
        <v>1</v>
      </c>
      <c r="K257">
        <v>77.5</v>
      </c>
    </row>
    <row r="258" spans="1:11" x14ac:dyDescent="0.3">
      <c r="A258">
        <v>2026</v>
      </c>
      <c r="B258">
        <v>1</v>
      </c>
      <c r="C258" t="s">
        <v>11</v>
      </c>
      <c r="D258" t="s">
        <v>111</v>
      </c>
      <c r="E258" t="str">
        <f>TEXT(11351301000186,"00000000000000")</f>
        <v>11351301000186</v>
      </c>
      <c r="F258" t="s">
        <v>122</v>
      </c>
      <c r="G258" t="s">
        <v>14</v>
      </c>
      <c r="H258">
        <v>33010021</v>
      </c>
      <c r="I258" t="s">
        <v>148</v>
      </c>
      <c r="J258">
        <v>19</v>
      </c>
      <c r="K258">
        <v>2728.4</v>
      </c>
    </row>
    <row r="259" spans="1:11" x14ac:dyDescent="0.3">
      <c r="A259">
        <v>2026</v>
      </c>
      <c r="B259">
        <v>1</v>
      </c>
      <c r="C259" t="s">
        <v>11</v>
      </c>
      <c r="D259" t="s">
        <v>111</v>
      </c>
      <c r="E259" t="str">
        <f>TEXT(11351301000186,"00000000000000")</f>
        <v>11351301000186</v>
      </c>
      <c r="F259" t="s">
        <v>122</v>
      </c>
      <c r="G259" t="s">
        <v>14</v>
      </c>
      <c r="H259">
        <v>33010030</v>
      </c>
      <c r="I259" t="s">
        <v>149</v>
      </c>
      <c r="J259">
        <v>1</v>
      </c>
      <c r="K259">
        <v>61.79</v>
      </c>
    </row>
    <row r="260" spans="1:11" x14ac:dyDescent="0.3">
      <c r="A260">
        <v>2026</v>
      </c>
      <c r="B260">
        <v>1</v>
      </c>
      <c r="C260" t="s">
        <v>11</v>
      </c>
      <c r="D260" t="s">
        <v>111</v>
      </c>
      <c r="E260" t="str">
        <f>TEXT(11351301000186,"00000000000000")</f>
        <v>11351301000186</v>
      </c>
      <c r="F260" t="s">
        <v>122</v>
      </c>
      <c r="G260" t="s">
        <v>14</v>
      </c>
      <c r="H260">
        <v>33010048</v>
      </c>
      <c r="I260" t="s">
        <v>150</v>
      </c>
      <c r="J260">
        <v>2</v>
      </c>
      <c r="K260">
        <v>118.74</v>
      </c>
    </row>
    <row r="261" spans="1:11" x14ac:dyDescent="0.3">
      <c r="A261">
        <v>2026</v>
      </c>
      <c r="B261">
        <v>1</v>
      </c>
      <c r="C261" t="s">
        <v>11</v>
      </c>
      <c r="D261" t="s">
        <v>111</v>
      </c>
      <c r="E261" t="str">
        <f>TEXT(11351301000186,"00000000000000")</f>
        <v>11351301000186</v>
      </c>
      <c r="F261" t="s">
        <v>122</v>
      </c>
      <c r="G261" t="s">
        <v>14</v>
      </c>
      <c r="H261">
        <v>33010129</v>
      </c>
      <c r="I261" t="s">
        <v>151</v>
      </c>
      <c r="J261">
        <v>17</v>
      </c>
      <c r="K261">
        <v>1041.5899999999999</v>
      </c>
    </row>
    <row r="262" spans="1:11" x14ac:dyDescent="0.3">
      <c r="A262">
        <v>2026</v>
      </c>
      <c r="B262">
        <v>1</v>
      </c>
      <c r="C262" t="s">
        <v>11</v>
      </c>
      <c r="D262" t="s">
        <v>111</v>
      </c>
      <c r="E262" t="str">
        <f>TEXT(11351301000186,"00000000000000")</f>
        <v>11351301000186</v>
      </c>
      <c r="F262" t="s">
        <v>122</v>
      </c>
      <c r="G262" t="s">
        <v>14</v>
      </c>
      <c r="H262">
        <v>33010145</v>
      </c>
      <c r="I262" t="s">
        <v>152</v>
      </c>
      <c r="J262">
        <v>5</v>
      </c>
      <c r="K262">
        <v>293.14999999999998</v>
      </c>
    </row>
    <row r="263" spans="1:11" x14ac:dyDescent="0.3">
      <c r="A263">
        <v>2026</v>
      </c>
      <c r="B263">
        <v>1</v>
      </c>
      <c r="C263" t="s">
        <v>11</v>
      </c>
      <c r="D263" t="s">
        <v>111</v>
      </c>
      <c r="E263" t="str">
        <f>TEXT(11351301000186,"00000000000000")</f>
        <v>11351301000186</v>
      </c>
      <c r="F263" t="s">
        <v>122</v>
      </c>
      <c r="G263" t="s">
        <v>14</v>
      </c>
      <c r="H263">
        <v>33010153</v>
      </c>
      <c r="I263" t="s">
        <v>153</v>
      </c>
      <c r="J263">
        <v>11</v>
      </c>
      <c r="K263">
        <v>449.79</v>
      </c>
    </row>
    <row r="264" spans="1:11" x14ac:dyDescent="0.3">
      <c r="A264">
        <v>2026</v>
      </c>
      <c r="B264">
        <v>1</v>
      </c>
      <c r="C264" t="s">
        <v>11</v>
      </c>
      <c r="D264" t="s">
        <v>111</v>
      </c>
      <c r="E264" t="str">
        <f>TEXT(11351301000186,"00000000000000")</f>
        <v>11351301000186</v>
      </c>
      <c r="F264" t="s">
        <v>122</v>
      </c>
      <c r="G264" t="s">
        <v>14</v>
      </c>
      <c r="H264">
        <v>33010196</v>
      </c>
      <c r="I264" t="s">
        <v>154</v>
      </c>
      <c r="J264">
        <v>1</v>
      </c>
      <c r="K264">
        <v>55.5</v>
      </c>
    </row>
    <row r="265" spans="1:11" x14ac:dyDescent="0.3">
      <c r="A265">
        <v>2026</v>
      </c>
      <c r="B265">
        <v>1</v>
      </c>
      <c r="C265" t="s">
        <v>11</v>
      </c>
      <c r="D265" t="s">
        <v>111</v>
      </c>
      <c r="E265" t="str">
        <f>TEXT(11351301000186,"00000000000000")</f>
        <v>11351301000186</v>
      </c>
      <c r="F265" t="s">
        <v>122</v>
      </c>
      <c r="G265" t="s">
        <v>14</v>
      </c>
      <c r="H265">
        <v>33010293</v>
      </c>
      <c r="I265" t="s">
        <v>155</v>
      </c>
      <c r="J265">
        <v>1</v>
      </c>
      <c r="K265">
        <v>100.18</v>
      </c>
    </row>
    <row r="266" spans="1:11" x14ac:dyDescent="0.3">
      <c r="A266">
        <v>2026</v>
      </c>
      <c r="B266">
        <v>1</v>
      </c>
      <c r="C266" t="s">
        <v>11</v>
      </c>
      <c r="D266" t="s">
        <v>111</v>
      </c>
      <c r="E266" t="str">
        <f>TEXT(11351301000186,"00000000000000")</f>
        <v>11351301000186</v>
      </c>
      <c r="F266" t="s">
        <v>122</v>
      </c>
      <c r="G266" t="s">
        <v>14</v>
      </c>
      <c r="H266">
        <v>33010323</v>
      </c>
      <c r="I266" t="s">
        <v>156</v>
      </c>
      <c r="J266">
        <v>2</v>
      </c>
      <c r="K266">
        <v>235.36</v>
      </c>
    </row>
    <row r="267" spans="1:11" x14ac:dyDescent="0.3">
      <c r="A267">
        <v>2026</v>
      </c>
      <c r="B267">
        <v>1</v>
      </c>
      <c r="C267" t="s">
        <v>11</v>
      </c>
      <c r="D267" t="s">
        <v>111</v>
      </c>
      <c r="E267" t="str">
        <f>TEXT(11351301000186,"00000000000000")</f>
        <v>11351301000186</v>
      </c>
      <c r="F267" t="s">
        <v>122</v>
      </c>
      <c r="G267" t="s">
        <v>14</v>
      </c>
      <c r="H267">
        <v>34010017</v>
      </c>
      <c r="I267" t="s">
        <v>157</v>
      </c>
      <c r="J267">
        <v>5</v>
      </c>
      <c r="K267">
        <v>1347.6</v>
      </c>
    </row>
    <row r="268" spans="1:11" x14ac:dyDescent="0.3">
      <c r="A268">
        <v>2026</v>
      </c>
      <c r="B268">
        <v>1</v>
      </c>
      <c r="C268" t="s">
        <v>11</v>
      </c>
      <c r="D268" t="s">
        <v>111</v>
      </c>
      <c r="E268" t="str">
        <f>TEXT(11351301000186,"00000000000000")</f>
        <v>11351301000186</v>
      </c>
      <c r="F268" t="s">
        <v>122</v>
      </c>
      <c r="G268" t="s">
        <v>14</v>
      </c>
      <c r="H268">
        <v>34010025</v>
      </c>
      <c r="I268" t="s">
        <v>158</v>
      </c>
      <c r="J268">
        <v>4</v>
      </c>
      <c r="K268">
        <v>1078.08</v>
      </c>
    </row>
    <row r="269" spans="1:11" x14ac:dyDescent="0.3">
      <c r="A269">
        <v>2026</v>
      </c>
      <c r="B269">
        <v>1</v>
      </c>
      <c r="C269" t="s">
        <v>11</v>
      </c>
      <c r="D269" t="s">
        <v>111</v>
      </c>
      <c r="E269" t="str">
        <f>TEXT(11351301000186,"00000000000000")</f>
        <v>11351301000186</v>
      </c>
      <c r="F269" t="s">
        <v>122</v>
      </c>
      <c r="G269" t="s">
        <v>14</v>
      </c>
      <c r="H269">
        <v>34010033</v>
      </c>
      <c r="I269" t="s">
        <v>159</v>
      </c>
      <c r="J269">
        <v>1</v>
      </c>
      <c r="K269">
        <v>220.31</v>
      </c>
    </row>
    <row r="270" spans="1:11" x14ac:dyDescent="0.3">
      <c r="A270">
        <v>2026</v>
      </c>
      <c r="B270">
        <v>1</v>
      </c>
      <c r="C270" t="s">
        <v>11</v>
      </c>
      <c r="D270" t="s">
        <v>111</v>
      </c>
      <c r="E270" t="str">
        <f>TEXT(11351301000186,"00000000000000")</f>
        <v>11351301000186</v>
      </c>
      <c r="F270" t="s">
        <v>122</v>
      </c>
      <c r="G270" t="s">
        <v>14</v>
      </c>
      <c r="H270">
        <v>34010068</v>
      </c>
      <c r="I270" t="s">
        <v>160</v>
      </c>
      <c r="J270">
        <v>8</v>
      </c>
      <c r="K270">
        <v>1762.48</v>
      </c>
    </row>
    <row r="271" spans="1:11" x14ac:dyDescent="0.3">
      <c r="A271">
        <v>2026</v>
      </c>
      <c r="B271">
        <v>1</v>
      </c>
      <c r="C271" t="s">
        <v>11</v>
      </c>
      <c r="D271" t="s">
        <v>111</v>
      </c>
      <c r="E271" t="str">
        <f>TEXT(11351301000186,"00000000000000")</f>
        <v>11351301000186</v>
      </c>
      <c r="F271" t="s">
        <v>122</v>
      </c>
      <c r="G271" t="s">
        <v>14</v>
      </c>
      <c r="H271">
        <v>34010106</v>
      </c>
      <c r="I271" t="s">
        <v>161</v>
      </c>
      <c r="J271">
        <v>4</v>
      </c>
      <c r="K271">
        <v>793.51</v>
      </c>
    </row>
    <row r="272" spans="1:11" x14ac:dyDescent="0.3">
      <c r="A272">
        <v>2026</v>
      </c>
      <c r="B272">
        <v>1</v>
      </c>
      <c r="C272" t="s">
        <v>11</v>
      </c>
      <c r="D272" t="s">
        <v>111</v>
      </c>
      <c r="E272" t="str">
        <f>TEXT(11351301000186,"00000000000000")</f>
        <v>11351301000186</v>
      </c>
      <c r="F272" t="s">
        <v>122</v>
      </c>
      <c r="G272" t="s">
        <v>14</v>
      </c>
      <c r="H272">
        <v>34010130</v>
      </c>
      <c r="I272" t="s">
        <v>162</v>
      </c>
      <c r="J272">
        <v>2</v>
      </c>
      <c r="K272">
        <v>539.04</v>
      </c>
    </row>
    <row r="273" spans="1:11" x14ac:dyDescent="0.3">
      <c r="A273">
        <v>2026</v>
      </c>
      <c r="B273">
        <v>1</v>
      </c>
      <c r="C273" t="s">
        <v>11</v>
      </c>
      <c r="D273" t="s">
        <v>111</v>
      </c>
      <c r="E273" t="str">
        <f>TEXT(11351301000186,"00000000000000")</f>
        <v>11351301000186</v>
      </c>
      <c r="F273" t="s">
        <v>122</v>
      </c>
      <c r="G273" t="s">
        <v>14</v>
      </c>
      <c r="H273">
        <v>43080120</v>
      </c>
      <c r="I273" t="s">
        <v>163</v>
      </c>
      <c r="J273">
        <v>1</v>
      </c>
      <c r="K273">
        <v>1037.9000000000001</v>
      </c>
    </row>
    <row r="274" spans="1:11" x14ac:dyDescent="0.3">
      <c r="A274">
        <v>2026</v>
      </c>
      <c r="B274">
        <v>1</v>
      </c>
      <c r="C274" t="s">
        <v>11</v>
      </c>
      <c r="D274" t="s">
        <v>111</v>
      </c>
      <c r="E274" t="str">
        <f>TEXT(11351301000186,"00000000000000")</f>
        <v>11351301000186</v>
      </c>
      <c r="F274" t="s">
        <v>122</v>
      </c>
      <c r="G274" t="s">
        <v>14</v>
      </c>
      <c r="H274">
        <v>43080162</v>
      </c>
      <c r="I274" t="s">
        <v>164</v>
      </c>
      <c r="J274">
        <v>1</v>
      </c>
      <c r="K274">
        <v>803.9</v>
      </c>
    </row>
    <row r="275" spans="1:11" x14ac:dyDescent="0.3">
      <c r="A275">
        <v>2026</v>
      </c>
      <c r="B275">
        <v>1</v>
      </c>
      <c r="C275" t="s">
        <v>11</v>
      </c>
      <c r="D275" t="s">
        <v>111</v>
      </c>
      <c r="E275" t="str">
        <f>TEXT(11351301000186,"00000000000000")</f>
        <v>11351301000186</v>
      </c>
      <c r="F275" t="s">
        <v>122</v>
      </c>
      <c r="G275" t="s">
        <v>14</v>
      </c>
      <c r="H275">
        <v>51050200</v>
      </c>
      <c r="I275" t="s">
        <v>165</v>
      </c>
      <c r="J275">
        <v>1</v>
      </c>
      <c r="K275">
        <v>705.1</v>
      </c>
    </row>
    <row r="276" spans="1:11" x14ac:dyDescent="0.3">
      <c r="A276">
        <v>2026</v>
      </c>
      <c r="B276">
        <v>1</v>
      </c>
      <c r="C276" t="s">
        <v>11</v>
      </c>
      <c r="D276" t="s">
        <v>111</v>
      </c>
      <c r="E276" t="str">
        <f>TEXT(11351301000186,"00000000000000")</f>
        <v>11351301000186</v>
      </c>
      <c r="F276" t="s">
        <v>122</v>
      </c>
      <c r="G276" t="s">
        <v>14</v>
      </c>
      <c r="H276">
        <v>54010012</v>
      </c>
      <c r="I276" t="s">
        <v>166</v>
      </c>
      <c r="J276">
        <v>1</v>
      </c>
      <c r="K276">
        <v>17.12</v>
      </c>
    </row>
    <row r="277" spans="1:11" x14ac:dyDescent="0.3">
      <c r="A277">
        <v>2026</v>
      </c>
      <c r="B277">
        <v>1</v>
      </c>
      <c r="C277" t="s">
        <v>11</v>
      </c>
      <c r="D277" t="s">
        <v>111</v>
      </c>
      <c r="E277" t="str">
        <f>TEXT(11351301000186,"00000000000000")</f>
        <v>11351301000186</v>
      </c>
      <c r="F277" t="s">
        <v>122</v>
      </c>
      <c r="G277" t="s">
        <v>14</v>
      </c>
      <c r="H277">
        <v>54010160</v>
      </c>
      <c r="I277" t="s">
        <v>167</v>
      </c>
      <c r="J277">
        <v>1</v>
      </c>
      <c r="K277">
        <v>50.64</v>
      </c>
    </row>
    <row r="278" spans="1:11" x14ac:dyDescent="0.3">
      <c r="A278">
        <v>2026</v>
      </c>
      <c r="B278">
        <v>1</v>
      </c>
      <c r="C278" t="s">
        <v>11</v>
      </c>
      <c r="D278" t="s">
        <v>111</v>
      </c>
      <c r="E278" t="str">
        <f>TEXT(11351301000186,"00000000000000")</f>
        <v>11351301000186</v>
      </c>
      <c r="F278" t="s">
        <v>122</v>
      </c>
      <c r="G278" t="s">
        <v>14</v>
      </c>
      <c r="H278">
        <v>54080010</v>
      </c>
      <c r="I278" t="s">
        <v>168</v>
      </c>
      <c r="J278">
        <v>1</v>
      </c>
      <c r="K278">
        <v>25.32</v>
      </c>
    </row>
    <row r="279" spans="1:11" x14ac:dyDescent="0.3">
      <c r="A279">
        <v>2026</v>
      </c>
      <c r="B279">
        <v>1</v>
      </c>
      <c r="C279" t="s">
        <v>11</v>
      </c>
      <c r="D279" t="s">
        <v>111</v>
      </c>
      <c r="E279" t="str">
        <f>TEXT(11351301000186,"00000000000000")</f>
        <v>11351301000186</v>
      </c>
      <c r="F279" t="s">
        <v>122</v>
      </c>
      <c r="G279" t="s">
        <v>14</v>
      </c>
      <c r="H279">
        <v>54080126</v>
      </c>
      <c r="I279" t="s">
        <v>169</v>
      </c>
      <c r="J279">
        <v>1</v>
      </c>
      <c r="K279">
        <v>26.08</v>
      </c>
    </row>
    <row r="280" spans="1:11" x14ac:dyDescent="0.3">
      <c r="A280">
        <v>2026</v>
      </c>
      <c r="B280">
        <v>1</v>
      </c>
      <c r="C280" t="s">
        <v>11</v>
      </c>
      <c r="D280" t="s">
        <v>111</v>
      </c>
      <c r="E280" t="str">
        <f>TEXT(11351301000186,"00000000000000")</f>
        <v>11351301000186</v>
      </c>
      <c r="F280" t="s">
        <v>122</v>
      </c>
      <c r="G280" t="s">
        <v>14</v>
      </c>
      <c r="H280">
        <v>56040059</v>
      </c>
      <c r="I280" t="s">
        <v>170</v>
      </c>
      <c r="J280">
        <v>1</v>
      </c>
      <c r="K280">
        <v>510.13</v>
      </c>
    </row>
    <row r="281" spans="1:11" x14ac:dyDescent="0.3">
      <c r="A281">
        <v>2026</v>
      </c>
      <c r="B281">
        <v>1</v>
      </c>
      <c r="C281" t="s">
        <v>11</v>
      </c>
      <c r="D281" t="s">
        <v>111</v>
      </c>
      <c r="E281" t="str">
        <f>TEXT(11351301000186,"00000000000000")</f>
        <v>11351301000186</v>
      </c>
      <c r="F281" t="s">
        <v>122</v>
      </c>
      <c r="G281" t="s">
        <v>14</v>
      </c>
      <c r="H281">
        <v>56040385</v>
      </c>
      <c r="I281" t="s">
        <v>171</v>
      </c>
      <c r="J281">
        <v>1</v>
      </c>
      <c r="K281">
        <v>1020.26</v>
      </c>
    </row>
    <row r="282" spans="1:11" x14ac:dyDescent="0.3">
      <c r="A282">
        <v>2026</v>
      </c>
      <c r="B282">
        <v>1</v>
      </c>
      <c r="C282" t="s">
        <v>11</v>
      </c>
      <c r="D282" t="s">
        <v>111</v>
      </c>
      <c r="E282" t="str">
        <f>TEXT(11351301000186,"00000000000000")</f>
        <v>11351301000186</v>
      </c>
      <c r="F282" t="s">
        <v>122</v>
      </c>
      <c r="G282" t="s">
        <v>14</v>
      </c>
      <c r="H282">
        <v>56040423</v>
      </c>
      <c r="I282" t="s">
        <v>172</v>
      </c>
      <c r="J282">
        <v>1</v>
      </c>
      <c r="K282">
        <v>510.13</v>
      </c>
    </row>
    <row r="283" spans="1:11" x14ac:dyDescent="0.3">
      <c r="A283">
        <v>2026</v>
      </c>
      <c r="B283">
        <v>1</v>
      </c>
      <c r="C283" t="s">
        <v>11</v>
      </c>
      <c r="D283" t="s">
        <v>111</v>
      </c>
      <c r="E283" t="str">
        <f>TEXT(11351301000186,"00000000000000")</f>
        <v>11351301000186</v>
      </c>
      <c r="F283" t="s">
        <v>122</v>
      </c>
      <c r="G283" t="s">
        <v>173</v>
      </c>
      <c r="H283">
        <v>131465</v>
      </c>
      <c r="I283" t="s">
        <v>174</v>
      </c>
      <c r="J283">
        <v>1</v>
      </c>
      <c r="K283">
        <v>135</v>
      </c>
    </row>
    <row r="284" spans="1:11" x14ac:dyDescent="0.3">
      <c r="A284">
        <v>2026</v>
      </c>
      <c r="B284">
        <v>1</v>
      </c>
      <c r="C284" t="s">
        <v>11</v>
      </c>
      <c r="D284" t="s">
        <v>111</v>
      </c>
      <c r="E284" t="str">
        <f>TEXT(11351301000186,"00000000000000")</f>
        <v>11351301000186</v>
      </c>
      <c r="F284" t="s">
        <v>122</v>
      </c>
      <c r="G284" t="s">
        <v>173</v>
      </c>
      <c r="H284">
        <v>162851</v>
      </c>
      <c r="I284" t="s">
        <v>175</v>
      </c>
      <c r="J284">
        <v>22</v>
      </c>
      <c r="K284">
        <v>57.42</v>
      </c>
    </row>
    <row r="285" spans="1:11" x14ac:dyDescent="0.3">
      <c r="A285">
        <v>2026</v>
      </c>
      <c r="B285">
        <v>1</v>
      </c>
      <c r="C285" t="s">
        <v>11</v>
      </c>
      <c r="D285" t="s">
        <v>111</v>
      </c>
      <c r="E285" t="str">
        <f>TEXT(11351301000186,"00000000000000")</f>
        <v>11351301000186</v>
      </c>
      <c r="F285" t="s">
        <v>122</v>
      </c>
      <c r="G285" t="s">
        <v>173</v>
      </c>
      <c r="H285">
        <v>175024</v>
      </c>
      <c r="I285" t="s">
        <v>176</v>
      </c>
      <c r="J285">
        <v>4</v>
      </c>
      <c r="K285">
        <v>10.16</v>
      </c>
    </row>
    <row r="286" spans="1:11" x14ac:dyDescent="0.3">
      <c r="A286">
        <v>2026</v>
      </c>
      <c r="B286">
        <v>1</v>
      </c>
      <c r="C286" t="s">
        <v>11</v>
      </c>
      <c r="D286" t="s">
        <v>111</v>
      </c>
      <c r="E286" t="str">
        <f>TEXT(11351301000186,"00000000000000")</f>
        <v>11351301000186</v>
      </c>
      <c r="F286" t="s">
        <v>122</v>
      </c>
      <c r="G286" t="s">
        <v>173</v>
      </c>
      <c r="H286">
        <v>257491</v>
      </c>
      <c r="I286" t="s">
        <v>177</v>
      </c>
      <c r="J286">
        <v>1</v>
      </c>
      <c r="K286">
        <v>34</v>
      </c>
    </row>
    <row r="287" spans="1:11" x14ac:dyDescent="0.3">
      <c r="A287">
        <v>2026</v>
      </c>
      <c r="B287">
        <v>1</v>
      </c>
      <c r="C287" t="s">
        <v>11</v>
      </c>
      <c r="D287" t="s">
        <v>111</v>
      </c>
      <c r="E287" t="str">
        <f>TEXT(11351301000186,"00000000000000")</f>
        <v>11351301000186</v>
      </c>
      <c r="F287" t="s">
        <v>122</v>
      </c>
      <c r="G287" t="s">
        <v>173</v>
      </c>
      <c r="H287">
        <v>276232</v>
      </c>
      <c r="I287" t="s">
        <v>178</v>
      </c>
      <c r="J287">
        <v>2</v>
      </c>
      <c r="K287">
        <v>162</v>
      </c>
    </row>
    <row r="288" spans="1:11" x14ac:dyDescent="0.3">
      <c r="A288">
        <v>2026</v>
      </c>
      <c r="B288">
        <v>1</v>
      </c>
      <c r="C288" t="s">
        <v>11</v>
      </c>
      <c r="D288" t="s">
        <v>111</v>
      </c>
      <c r="E288" t="str">
        <f>TEXT(11351301000186,"00000000000000")</f>
        <v>11351301000186</v>
      </c>
      <c r="F288" t="s">
        <v>122</v>
      </c>
      <c r="G288" t="s">
        <v>173</v>
      </c>
      <c r="H288">
        <v>279306</v>
      </c>
      <c r="I288" t="s">
        <v>179</v>
      </c>
      <c r="J288">
        <v>1</v>
      </c>
      <c r="K288">
        <v>32.159999999999997</v>
      </c>
    </row>
    <row r="289" spans="1:11" x14ac:dyDescent="0.3">
      <c r="A289">
        <v>2026</v>
      </c>
      <c r="B289">
        <v>1</v>
      </c>
      <c r="C289" t="s">
        <v>11</v>
      </c>
      <c r="D289" t="s">
        <v>111</v>
      </c>
      <c r="E289" t="str">
        <f>TEXT(11351301000186,"00000000000000")</f>
        <v>11351301000186</v>
      </c>
      <c r="F289" t="s">
        <v>122</v>
      </c>
      <c r="G289" t="s">
        <v>173</v>
      </c>
      <c r="H289">
        <v>288636</v>
      </c>
      <c r="I289" t="s">
        <v>180</v>
      </c>
      <c r="J289">
        <v>1</v>
      </c>
      <c r="K289">
        <v>127.4</v>
      </c>
    </row>
    <row r="290" spans="1:11" x14ac:dyDescent="0.3">
      <c r="A290">
        <v>2026</v>
      </c>
      <c r="B290">
        <v>1</v>
      </c>
      <c r="C290" t="s">
        <v>11</v>
      </c>
      <c r="D290" t="s">
        <v>111</v>
      </c>
      <c r="E290" t="str">
        <f>TEXT(11351301000186,"00000000000000")</f>
        <v>11351301000186</v>
      </c>
      <c r="F290" t="s">
        <v>122</v>
      </c>
      <c r="G290" t="s">
        <v>173</v>
      </c>
      <c r="H290">
        <v>295572</v>
      </c>
      <c r="I290" t="s">
        <v>181</v>
      </c>
      <c r="J290">
        <v>4</v>
      </c>
      <c r="K290">
        <v>9.0399999999999991</v>
      </c>
    </row>
    <row r="291" spans="1:11" x14ac:dyDescent="0.3">
      <c r="A291">
        <v>2026</v>
      </c>
      <c r="B291">
        <v>1</v>
      </c>
      <c r="C291" t="s">
        <v>11</v>
      </c>
      <c r="D291" t="s">
        <v>111</v>
      </c>
      <c r="E291" t="str">
        <f>TEXT(11351301000186,"00000000000000")</f>
        <v>11351301000186</v>
      </c>
      <c r="F291" t="s">
        <v>122</v>
      </c>
      <c r="G291" t="s">
        <v>173</v>
      </c>
      <c r="H291">
        <v>2340098</v>
      </c>
      <c r="I291" t="s">
        <v>182</v>
      </c>
      <c r="J291">
        <v>2</v>
      </c>
      <c r="K291">
        <v>19.64</v>
      </c>
    </row>
    <row r="292" spans="1:11" x14ac:dyDescent="0.3">
      <c r="A292">
        <v>2026</v>
      </c>
      <c r="B292">
        <v>1</v>
      </c>
      <c r="C292" t="s">
        <v>11</v>
      </c>
      <c r="D292" t="s">
        <v>111</v>
      </c>
      <c r="E292" t="str">
        <f>TEXT(11351301000186,"00000000000000")</f>
        <v>11351301000186</v>
      </c>
      <c r="F292" t="s">
        <v>122</v>
      </c>
      <c r="G292" t="s">
        <v>173</v>
      </c>
      <c r="H292">
        <v>3950182</v>
      </c>
      <c r="I292" t="s">
        <v>183</v>
      </c>
      <c r="J292">
        <v>1</v>
      </c>
      <c r="K292">
        <v>44.43</v>
      </c>
    </row>
    <row r="293" spans="1:11" x14ac:dyDescent="0.3">
      <c r="A293">
        <v>2026</v>
      </c>
      <c r="B293">
        <v>1</v>
      </c>
      <c r="C293" t="s">
        <v>11</v>
      </c>
      <c r="D293" t="s">
        <v>111</v>
      </c>
      <c r="E293" t="str">
        <f>TEXT(11351301000186,"00000000000000")</f>
        <v>11351301000186</v>
      </c>
      <c r="F293" t="s">
        <v>122</v>
      </c>
      <c r="G293" t="s">
        <v>173</v>
      </c>
      <c r="H293">
        <v>70705356</v>
      </c>
      <c r="I293" t="s">
        <v>184</v>
      </c>
      <c r="J293">
        <v>72</v>
      </c>
      <c r="K293">
        <v>68.400000000000006</v>
      </c>
    </row>
    <row r="294" spans="1:11" x14ac:dyDescent="0.3">
      <c r="A294">
        <v>2026</v>
      </c>
      <c r="B294">
        <v>1</v>
      </c>
      <c r="C294" t="s">
        <v>11</v>
      </c>
      <c r="D294" t="s">
        <v>111</v>
      </c>
      <c r="E294" t="str">
        <f>TEXT(11351301000186,"00000000000000")</f>
        <v>11351301000186</v>
      </c>
      <c r="F294" t="s">
        <v>122</v>
      </c>
      <c r="G294" t="s">
        <v>173</v>
      </c>
      <c r="H294">
        <v>70799172</v>
      </c>
      <c r="I294" t="s">
        <v>185</v>
      </c>
      <c r="J294">
        <v>75</v>
      </c>
      <c r="K294">
        <v>0.75</v>
      </c>
    </row>
    <row r="295" spans="1:11" x14ac:dyDescent="0.3">
      <c r="A295">
        <v>2026</v>
      </c>
      <c r="B295">
        <v>1</v>
      </c>
      <c r="C295" t="s">
        <v>11</v>
      </c>
      <c r="D295" t="s">
        <v>111</v>
      </c>
      <c r="E295" t="str">
        <f>TEXT(11351301000186,"00000000000000")</f>
        <v>11351301000186</v>
      </c>
      <c r="F295" t="s">
        <v>122</v>
      </c>
      <c r="G295" t="s">
        <v>173</v>
      </c>
      <c r="H295">
        <v>70851034</v>
      </c>
      <c r="I295" t="s">
        <v>186</v>
      </c>
      <c r="J295">
        <v>3</v>
      </c>
      <c r="K295">
        <v>377.97</v>
      </c>
    </row>
    <row r="296" spans="1:11" x14ac:dyDescent="0.3">
      <c r="A296">
        <v>2026</v>
      </c>
      <c r="B296">
        <v>1</v>
      </c>
      <c r="C296" t="s">
        <v>11</v>
      </c>
      <c r="D296" t="s">
        <v>111</v>
      </c>
      <c r="E296" t="str">
        <f>TEXT(11351301000186,"00000000000000")</f>
        <v>11351301000186</v>
      </c>
      <c r="F296" t="s">
        <v>122</v>
      </c>
      <c r="G296" t="s">
        <v>173</v>
      </c>
      <c r="H296">
        <v>73890316</v>
      </c>
      <c r="I296" t="s">
        <v>187</v>
      </c>
      <c r="J296">
        <v>1</v>
      </c>
      <c r="K296">
        <v>28.8</v>
      </c>
    </row>
    <row r="297" spans="1:11" x14ac:dyDescent="0.3">
      <c r="A297">
        <v>2026</v>
      </c>
      <c r="B297">
        <v>1</v>
      </c>
      <c r="C297" t="s">
        <v>11</v>
      </c>
      <c r="D297" t="s">
        <v>111</v>
      </c>
      <c r="E297" t="str">
        <f>TEXT(11351301000186,"00000000000000")</f>
        <v>11351301000186</v>
      </c>
      <c r="F297" t="s">
        <v>122</v>
      </c>
      <c r="G297" t="s">
        <v>173</v>
      </c>
      <c r="H297">
        <v>73890871</v>
      </c>
      <c r="I297" t="s">
        <v>188</v>
      </c>
      <c r="J297">
        <v>4</v>
      </c>
      <c r="K297">
        <v>128.63999999999999</v>
      </c>
    </row>
    <row r="298" spans="1:11" x14ac:dyDescent="0.3">
      <c r="A298">
        <v>2026</v>
      </c>
      <c r="B298">
        <v>1</v>
      </c>
      <c r="C298" t="s">
        <v>11</v>
      </c>
      <c r="D298" t="s">
        <v>111</v>
      </c>
      <c r="E298" t="str">
        <f>TEXT(11351301000186,"00000000000000")</f>
        <v>11351301000186</v>
      </c>
      <c r="F298" t="s">
        <v>122</v>
      </c>
      <c r="G298" t="s">
        <v>173</v>
      </c>
      <c r="H298">
        <v>73897736</v>
      </c>
      <c r="I298" t="s">
        <v>189</v>
      </c>
      <c r="J298">
        <v>2</v>
      </c>
      <c r="K298">
        <v>31.2</v>
      </c>
    </row>
    <row r="299" spans="1:11" x14ac:dyDescent="0.3">
      <c r="A299">
        <v>2026</v>
      </c>
      <c r="B299">
        <v>1</v>
      </c>
      <c r="C299" t="s">
        <v>11</v>
      </c>
      <c r="D299" t="s">
        <v>111</v>
      </c>
      <c r="E299" t="str">
        <f>TEXT(11351301000186,"00000000000000")</f>
        <v>11351301000186</v>
      </c>
      <c r="F299" t="s">
        <v>122</v>
      </c>
      <c r="G299" t="s">
        <v>173</v>
      </c>
      <c r="H299">
        <v>73902071</v>
      </c>
      <c r="I299" t="s">
        <v>190</v>
      </c>
      <c r="J299">
        <v>2</v>
      </c>
      <c r="K299">
        <v>84</v>
      </c>
    </row>
    <row r="300" spans="1:11" x14ac:dyDescent="0.3">
      <c r="A300">
        <v>2026</v>
      </c>
      <c r="B300">
        <v>1</v>
      </c>
      <c r="C300" t="s">
        <v>11</v>
      </c>
      <c r="D300" t="s">
        <v>111</v>
      </c>
      <c r="E300" t="str">
        <f>TEXT(11351301000186,"00000000000000")</f>
        <v>11351301000186</v>
      </c>
      <c r="F300" t="s">
        <v>122</v>
      </c>
      <c r="G300" t="s">
        <v>173</v>
      </c>
      <c r="H300">
        <v>78204909</v>
      </c>
      <c r="I300" t="s">
        <v>191</v>
      </c>
      <c r="J300">
        <v>63</v>
      </c>
      <c r="K300">
        <v>221.13</v>
      </c>
    </row>
    <row r="301" spans="1:11" x14ac:dyDescent="0.3">
      <c r="A301">
        <v>2026</v>
      </c>
      <c r="B301">
        <v>1</v>
      </c>
      <c r="C301" t="s">
        <v>11</v>
      </c>
      <c r="D301" t="s">
        <v>111</v>
      </c>
      <c r="E301" t="str">
        <f>TEXT(11351301000186,"00000000000000")</f>
        <v>11351301000186</v>
      </c>
      <c r="F301" t="s">
        <v>122</v>
      </c>
      <c r="G301" t="s">
        <v>173</v>
      </c>
      <c r="H301">
        <v>78207738</v>
      </c>
      <c r="I301" t="s">
        <v>192</v>
      </c>
      <c r="J301">
        <v>29</v>
      </c>
      <c r="K301">
        <v>45.24</v>
      </c>
    </row>
    <row r="302" spans="1:11" x14ac:dyDescent="0.3">
      <c r="A302">
        <v>2026</v>
      </c>
      <c r="B302">
        <v>1</v>
      </c>
      <c r="C302" t="s">
        <v>11</v>
      </c>
      <c r="D302" t="s">
        <v>111</v>
      </c>
      <c r="E302" t="str">
        <f>TEXT(11351301000186,"00000000000000")</f>
        <v>11351301000186</v>
      </c>
      <c r="F302" t="s">
        <v>122</v>
      </c>
      <c r="G302" t="s">
        <v>173</v>
      </c>
      <c r="H302">
        <v>78208157</v>
      </c>
      <c r="I302" t="s">
        <v>193</v>
      </c>
      <c r="J302">
        <v>22</v>
      </c>
      <c r="K302">
        <v>75.400000000000006</v>
      </c>
    </row>
    <row r="303" spans="1:11" x14ac:dyDescent="0.3">
      <c r="A303">
        <v>2026</v>
      </c>
      <c r="B303">
        <v>1</v>
      </c>
      <c r="C303" t="s">
        <v>11</v>
      </c>
      <c r="D303" t="s">
        <v>111</v>
      </c>
      <c r="E303" t="str">
        <f>TEXT(11351301000186,"00000000000000")</f>
        <v>11351301000186</v>
      </c>
      <c r="F303" t="s">
        <v>122</v>
      </c>
      <c r="G303" t="s">
        <v>173</v>
      </c>
      <c r="H303">
        <v>78212596</v>
      </c>
      <c r="I303" t="s">
        <v>194</v>
      </c>
      <c r="J303">
        <v>5</v>
      </c>
      <c r="K303">
        <v>79.45</v>
      </c>
    </row>
    <row r="304" spans="1:11" x14ac:dyDescent="0.3">
      <c r="A304">
        <v>2026</v>
      </c>
      <c r="B304">
        <v>1</v>
      </c>
      <c r="C304" t="s">
        <v>11</v>
      </c>
      <c r="D304" t="s">
        <v>111</v>
      </c>
      <c r="E304" t="str">
        <f>TEXT(11351301000186,"00000000000000")</f>
        <v>11351301000186</v>
      </c>
      <c r="F304" t="s">
        <v>122</v>
      </c>
      <c r="G304" t="s">
        <v>173</v>
      </c>
      <c r="H304">
        <v>78213126</v>
      </c>
      <c r="I304" t="s">
        <v>195</v>
      </c>
      <c r="J304">
        <v>4</v>
      </c>
      <c r="K304">
        <v>16.399999999999999</v>
      </c>
    </row>
    <row r="305" spans="1:11" x14ac:dyDescent="0.3">
      <c r="A305">
        <v>2026</v>
      </c>
      <c r="B305">
        <v>1</v>
      </c>
      <c r="C305" t="s">
        <v>11</v>
      </c>
      <c r="D305" t="s">
        <v>111</v>
      </c>
      <c r="E305" t="str">
        <f>TEXT(11351301000186,"00000000000000")</f>
        <v>11351301000186</v>
      </c>
      <c r="F305" t="s">
        <v>122</v>
      </c>
      <c r="G305" t="s">
        <v>173</v>
      </c>
      <c r="H305">
        <v>78214548</v>
      </c>
      <c r="I305" t="s">
        <v>196</v>
      </c>
      <c r="J305">
        <v>7</v>
      </c>
      <c r="K305">
        <v>7.42</v>
      </c>
    </row>
    <row r="306" spans="1:11" x14ac:dyDescent="0.3">
      <c r="A306">
        <v>2026</v>
      </c>
      <c r="B306">
        <v>1</v>
      </c>
      <c r="C306" t="s">
        <v>11</v>
      </c>
      <c r="D306" t="s">
        <v>111</v>
      </c>
      <c r="E306" t="str">
        <f>TEXT(11351301000186,"00000000000000")</f>
        <v>11351301000186</v>
      </c>
      <c r="F306" t="s">
        <v>122</v>
      </c>
      <c r="G306" t="s">
        <v>173</v>
      </c>
      <c r="H306">
        <v>78244579</v>
      </c>
      <c r="I306" t="s">
        <v>197</v>
      </c>
      <c r="J306">
        <v>37</v>
      </c>
      <c r="K306">
        <v>928.7</v>
      </c>
    </row>
    <row r="307" spans="1:11" x14ac:dyDescent="0.3">
      <c r="A307">
        <v>2026</v>
      </c>
      <c r="B307">
        <v>1</v>
      </c>
      <c r="C307" t="s">
        <v>11</v>
      </c>
      <c r="D307" t="s">
        <v>111</v>
      </c>
      <c r="E307" t="str">
        <f>TEXT(11351301000186,"00000000000000")</f>
        <v>11351301000186</v>
      </c>
      <c r="F307" t="s">
        <v>122</v>
      </c>
      <c r="G307" t="s">
        <v>173</v>
      </c>
      <c r="H307">
        <v>78266750</v>
      </c>
      <c r="I307" t="s">
        <v>198</v>
      </c>
      <c r="J307">
        <v>1</v>
      </c>
      <c r="K307">
        <v>22.3</v>
      </c>
    </row>
    <row r="308" spans="1:11" x14ac:dyDescent="0.3">
      <c r="A308">
        <v>2026</v>
      </c>
      <c r="B308">
        <v>1</v>
      </c>
      <c r="C308" t="s">
        <v>11</v>
      </c>
      <c r="D308" t="s">
        <v>111</v>
      </c>
      <c r="E308" t="str">
        <f>TEXT(11351301000186,"00000000000000")</f>
        <v>11351301000186</v>
      </c>
      <c r="F308" t="s">
        <v>122</v>
      </c>
      <c r="G308" t="s">
        <v>173</v>
      </c>
      <c r="H308">
        <v>78267269</v>
      </c>
      <c r="I308" t="s">
        <v>199</v>
      </c>
      <c r="J308">
        <v>1</v>
      </c>
      <c r="K308">
        <v>1.32</v>
      </c>
    </row>
    <row r="309" spans="1:11" x14ac:dyDescent="0.3">
      <c r="A309">
        <v>2026</v>
      </c>
      <c r="B309">
        <v>1</v>
      </c>
      <c r="C309" t="s">
        <v>11</v>
      </c>
      <c r="D309" t="s">
        <v>111</v>
      </c>
      <c r="E309" t="str">
        <f>TEXT(11351301000186,"00000000000000")</f>
        <v>11351301000186</v>
      </c>
      <c r="F309" t="s">
        <v>122</v>
      </c>
      <c r="G309" t="s">
        <v>173</v>
      </c>
      <c r="H309">
        <v>78404100</v>
      </c>
      <c r="I309" t="s">
        <v>200</v>
      </c>
      <c r="J309">
        <v>20</v>
      </c>
      <c r="K309">
        <v>63.8</v>
      </c>
    </row>
    <row r="310" spans="1:11" x14ac:dyDescent="0.3">
      <c r="A310">
        <v>2026</v>
      </c>
      <c r="B310">
        <v>1</v>
      </c>
      <c r="C310" t="s">
        <v>11</v>
      </c>
      <c r="D310" t="s">
        <v>111</v>
      </c>
      <c r="E310" t="str">
        <f>TEXT(11351301000186,"00000000000000")</f>
        <v>11351301000186</v>
      </c>
      <c r="F310" t="s">
        <v>122</v>
      </c>
      <c r="G310" t="s">
        <v>173</v>
      </c>
      <c r="H310">
        <v>78428947</v>
      </c>
      <c r="I310" t="s">
        <v>201</v>
      </c>
      <c r="J310">
        <v>3</v>
      </c>
      <c r="K310">
        <v>199.74</v>
      </c>
    </row>
    <row r="311" spans="1:11" x14ac:dyDescent="0.3">
      <c r="A311">
        <v>2026</v>
      </c>
      <c r="B311">
        <v>1</v>
      </c>
      <c r="C311" t="s">
        <v>11</v>
      </c>
      <c r="D311" t="s">
        <v>111</v>
      </c>
      <c r="E311" t="str">
        <f>TEXT(11351301000186,"00000000000000")</f>
        <v>11351301000186</v>
      </c>
      <c r="F311" t="s">
        <v>122</v>
      </c>
      <c r="G311" t="s">
        <v>173</v>
      </c>
      <c r="H311">
        <v>78986389</v>
      </c>
      <c r="I311" t="s">
        <v>202</v>
      </c>
      <c r="J311">
        <v>15</v>
      </c>
      <c r="K311">
        <v>11.7</v>
      </c>
    </row>
    <row r="312" spans="1:11" x14ac:dyDescent="0.3">
      <c r="A312">
        <v>2026</v>
      </c>
      <c r="B312">
        <v>1</v>
      </c>
      <c r="C312" t="s">
        <v>11</v>
      </c>
      <c r="D312" t="s">
        <v>111</v>
      </c>
      <c r="E312" t="str">
        <f>TEXT(11351301000186,"00000000000000")</f>
        <v>11351301000186</v>
      </c>
      <c r="F312" t="s">
        <v>122</v>
      </c>
      <c r="G312" t="s">
        <v>173</v>
      </c>
      <c r="H312">
        <v>79214312</v>
      </c>
      <c r="I312" t="s">
        <v>203</v>
      </c>
      <c r="J312">
        <v>38</v>
      </c>
      <c r="K312">
        <v>874</v>
      </c>
    </row>
    <row r="313" spans="1:11" x14ac:dyDescent="0.3">
      <c r="A313">
        <v>2026</v>
      </c>
      <c r="B313">
        <v>1</v>
      </c>
      <c r="C313" t="s">
        <v>11</v>
      </c>
      <c r="D313" t="s">
        <v>111</v>
      </c>
      <c r="E313" t="str">
        <f>TEXT(11351301000186,"00000000000000")</f>
        <v>11351301000186</v>
      </c>
      <c r="F313" t="s">
        <v>122</v>
      </c>
      <c r="G313" t="s">
        <v>204</v>
      </c>
      <c r="H313">
        <v>3682</v>
      </c>
      <c r="I313" t="s">
        <v>205</v>
      </c>
      <c r="J313">
        <v>3</v>
      </c>
      <c r="K313">
        <v>17.73</v>
      </c>
    </row>
    <row r="314" spans="1:11" x14ac:dyDescent="0.3">
      <c r="A314">
        <v>2026</v>
      </c>
      <c r="B314">
        <v>1</v>
      </c>
      <c r="C314" t="s">
        <v>11</v>
      </c>
      <c r="D314" t="s">
        <v>111</v>
      </c>
      <c r="E314" t="str">
        <f>TEXT(11351301000186,"00000000000000")</f>
        <v>11351301000186</v>
      </c>
      <c r="F314" t="s">
        <v>122</v>
      </c>
      <c r="G314" t="s">
        <v>204</v>
      </c>
      <c r="H314">
        <v>7463</v>
      </c>
      <c r="I314" t="s">
        <v>206</v>
      </c>
      <c r="J314">
        <v>21</v>
      </c>
      <c r="K314">
        <v>86.31</v>
      </c>
    </row>
    <row r="315" spans="1:11" x14ac:dyDescent="0.3">
      <c r="A315">
        <v>2026</v>
      </c>
      <c r="B315">
        <v>1</v>
      </c>
      <c r="C315" t="s">
        <v>11</v>
      </c>
      <c r="D315" t="s">
        <v>111</v>
      </c>
      <c r="E315" t="str">
        <f>TEXT(11351301000186,"00000000000000")</f>
        <v>11351301000186</v>
      </c>
      <c r="F315" t="s">
        <v>122</v>
      </c>
      <c r="G315" t="s">
        <v>204</v>
      </c>
      <c r="H315">
        <v>17547</v>
      </c>
      <c r="I315" t="s">
        <v>207</v>
      </c>
      <c r="J315">
        <v>1</v>
      </c>
      <c r="K315">
        <v>0.36</v>
      </c>
    </row>
    <row r="316" spans="1:11" x14ac:dyDescent="0.3">
      <c r="A316">
        <v>2026</v>
      </c>
      <c r="B316">
        <v>1</v>
      </c>
      <c r="C316" t="s">
        <v>11</v>
      </c>
      <c r="D316" t="s">
        <v>111</v>
      </c>
      <c r="E316" t="str">
        <f>TEXT(11351301000186,"00000000000000")</f>
        <v>11351301000186</v>
      </c>
      <c r="F316" t="s">
        <v>122</v>
      </c>
      <c r="G316" t="s">
        <v>204</v>
      </c>
      <c r="H316">
        <v>31066</v>
      </c>
      <c r="I316" t="s">
        <v>208</v>
      </c>
      <c r="J316">
        <v>11</v>
      </c>
      <c r="K316">
        <v>2.09</v>
      </c>
    </row>
    <row r="317" spans="1:11" x14ac:dyDescent="0.3">
      <c r="A317">
        <v>2026</v>
      </c>
      <c r="B317">
        <v>1</v>
      </c>
      <c r="C317" t="s">
        <v>11</v>
      </c>
      <c r="D317" t="s">
        <v>111</v>
      </c>
      <c r="E317" t="str">
        <f>TEXT(11351301000186,"00000000000000")</f>
        <v>11351301000186</v>
      </c>
      <c r="F317" t="s">
        <v>122</v>
      </c>
      <c r="G317" t="s">
        <v>204</v>
      </c>
      <c r="H317">
        <v>62500</v>
      </c>
      <c r="I317" t="s">
        <v>209</v>
      </c>
      <c r="J317">
        <v>1</v>
      </c>
      <c r="K317">
        <v>0.13</v>
      </c>
    </row>
    <row r="318" spans="1:11" x14ac:dyDescent="0.3">
      <c r="A318">
        <v>2026</v>
      </c>
      <c r="B318">
        <v>1</v>
      </c>
      <c r="C318" t="s">
        <v>11</v>
      </c>
      <c r="D318" t="s">
        <v>111</v>
      </c>
      <c r="E318" t="str">
        <f>TEXT(11351301000186,"00000000000000")</f>
        <v>11351301000186</v>
      </c>
      <c r="F318" t="s">
        <v>122</v>
      </c>
      <c r="G318" t="s">
        <v>204</v>
      </c>
      <c r="H318">
        <v>68154</v>
      </c>
      <c r="I318" t="s">
        <v>210</v>
      </c>
      <c r="J318">
        <v>5</v>
      </c>
      <c r="K318">
        <v>3.8</v>
      </c>
    </row>
    <row r="319" spans="1:11" x14ac:dyDescent="0.3">
      <c r="A319">
        <v>2026</v>
      </c>
      <c r="B319">
        <v>1</v>
      </c>
      <c r="C319" t="s">
        <v>11</v>
      </c>
      <c r="D319" t="s">
        <v>111</v>
      </c>
      <c r="E319" t="str">
        <f>TEXT(11351301000186,"00000000000000")</f>
        <v>11351301000186</v>
      </c>
      <c r="F319" t="s">
        <v>122</v>
      </c>
      <c r="G319" t="s">
        <v>204</v>
      </c>
      <c r="H319">
        <v>76135</v>
      </c>
      <c r="I319" t="s">
        <v>211</v>
      </c>
      <c r="J319">
        <v>5</v>
      </c>
      <c r="K319">
        <v>2.35</v>
      </c>
    </row>
    <row r="320" spans="1:11" x14ac:dyDescent="0.3">
      <c r="A320">
        <v>2026</v>
      </c>
      <c r="B320">
        <v>1</v>
      </c>
      <c r="C320" t="s">
        <v>11</v>
      </c>
      <c r="D320" t="s">
        <v>111</v>
      </c>
      <c r="E320" t="str">
        <f>TEXT(11351301000186,"00000000000000")</f>
        <v>11351301000186</v>
      </c>
      <c r="F320" t="s">
        <v>122</v>
      </c>
      <c r="G320" t="s">
        <v>204</v>
      </c>
      <c r="H320">
        <v>76248</v>
      </c>
      <c r="I320" t="s">
        <v>212</v>
      </c>
      <c r="J320">
        <v>1</v>
      </c>
      <c r="K320">
        <v>24.2</v>
      </c>
    </row>
    <row r="321" spans="1:11" x14ac:dyDescent="0.3">
      <c r="A321">
        <v>2026</v>
      </c>
      <c r="B321">
        <v>1</v>
      </c>
      <c r="C321" t="s">
        <v>11</v>
      </c>
      <c r="D321" t="s">
        <v>111</v>
      </c>
      <c r="E321" t="str">
        <f>TEXT(11351301000186,"00000000000000")</f>
        <v>11351301000186</v>
      </c>
      <c r="F321" t="s">
        <v>122</v>
      </c>
      <c r="G321" t="s">
        <v>204</v>
      </c>
      <c r="H321">
        <v>90019830</v>
      </c>
      <c r="I321" t="s">
        <v>213</v>
      </c>
      <c r="J321">
        <v>64</v>
      </c>
      <c r="K321">
        <v>426.88</v>
      </c>
    </row>
    <row r="322" spans="1:11" x14ac:dyDescent="0.3">
      <c r="A322">
        <v>2026</v>
      </c>
      <c r="B322">
        <v>1</v>
      </c>
      <c r="C322" t="s">
        <v>11</v>
      </c>
      <c r="D322" t="s">
        <v>111</v>
      </c>
      <c r="E322" t="str">
        <f>TEXT(11351301000186,"00000000000000")</f>
        <v>11351301000186</v>
      </c>
      <c r="F322" t="s">
        <v>122</v>
      </c>
      <c r="G322" t="s">
        <v>204</v>
      </c>
      <c r="H322">
        <v>90022190</v>
      </c>
      <c r="I322" t="s">
        <v>214</v>
      </c>
      <c r="J322">
        <v>2</v>
      </c>
      <c r="K322">
        <v>12.54</v>
      </c>
    </row>
    <row r="323" spans="1:11" x14ac:dyDescent="0.3">
      <c r="A323">
        <v>2026</v>
      </c>
      <c r="B323">
        <v>1</v>
      </c>
      <c r="C323" t="s">
        <v>11</v>
      </c>
      <c r="D323" t="s">
        <v>111</v>
      </c>
      <c r="E323" t="str">
        <f>TEXT(11351301000186,"00000000000000")</f>
        <v>11351301000186</v>
      </c>
      <c r="F323" t="s">
        <v>122</v>
      </c>
      <c r="G323" t="s">
        <v>204</v>
      </c>
      <c r="H323">
        <v>90032616</v>
      </c>
      <c r="I323" t="s">
        <v>215</v>
      </c>
      <c r="J323">
        <v>1</v>
      </c>
      <c r="K323">
        <v>0.23</v>
      </c>
    </row>
    <row r="324" spans="1:11" x14ac:dyDescent="0.3">
      <c r="A324">
        <v>2026</v>
      </c>
      <c r="B324">
        <v>1</v>
      </c>
      <c r="C324" t="s">
        <v>11</v>
      </c>
      <c r="D324" t="s">
        <v>111</v>
      </c>
      <c r="E324" t="str">
        <f>TEXT(11351301000186,"00000000000000")</f>
        <v>11351301000186</v>
      </c>
      <c r="F324" t="s">
        <v>122</v>
      </c>
      <c r="G324" t="s">
        <v>204</v>
      </c>
      <c r="H324">
        <v>90045742</v>
      </c>
      <c r="I324" t="s">
        <v>216</v>
      </c>
      <c r="J324">
        <v>2</v>
      </c>
      <c r="K324">
        <v>39.82</v>
      </c>
    </row>
    <row r="325" spans="1:11" x14ac:dyDescent="0.3">
      <c r="A325">
        <v>2026</v>
      </c>
      <c r="B325">
        <v>1</v>
      </c>
      <c r="C325" t="s">
        <v>11</v>
      </c>
      <c r="D325" t="s">
        <v>111</v>
      </c>
      <c r="E325" t="str">
        <f>TEXT(11351301000186,"00000000000000")</f>
        <v>11351301000186</v>
      </c>
      <c r="F325" t="s">
        <v>122</v>
      </c>
      <c r="G325" t="s">
        <v>204</v>
      </c>
      <c r="H325">
        <v>90047257</v>
      </c>
      <c r="I325" t="s">
        <v>217</v>
      </c>
      <c r="J325">
        <v>3</v>
      </c>
      <c r="K325">
        <v>32.22</v>
      </c>
    </row>
    <row r="326" spans="1:11" x14ac:dyDescent="0.3">
      <c r="A326">
        <v>2026</v>
      </c>
      <c r="B326">
        <v>1</v>
      </c>
      <c r="C326" t="s">
        <v>11</v>
      </c>
      <c r="D326" t="s">
        <v>111</v>
      </c>
      <c r="E326" t="str">
        <f>TEXT(11351301000186,"00000000000000")</f>
        <v>11351301000186</v>
      </c>
      <c r="F326" t="s">
        <v>122</v>
      </c>
      <c r="G326" t="s">
        <v>204</v>
      </c>
      <c r="H326">
        <v>90066740</v>
      </c>
      <c r="I326" t="s">
        <v>218</v>
      </c>
      <c r="J326">
        <v>1</v>
      </c>
      <c r="K326">
        <v>0.61</v>
      </c>
    </row>
    <row r="327" spans="1:11" x14ac:dyDescent="0.3">
      <c r="A327">
        <v>2026</v>
      </c>
      <c r="B327">
        <v>1</v>
      </c>
      <c r="C327" t="s">
        <v>11</v>
      </c>
      <c r="D327" t="s">
        <v>111</v>
      </c>
      <c r="E327" t="str">
        <f>TEXT(11351301000186,"00000000000000")</f>
        <v>11351301000186</v>
      </c>
      <c r="F327" t="s">
        <v>122</v>
      </c>
      <c r="G327" t="s">
        <v>204</v>
      </c>
      <c r="H327">
        <v>90067010</v>
      </c>
      <c r="I327" t="s">
        <v>219</v>
      </c>
      <c r="J327">
        <v>10</v>
      </c>
      <c r="K327">
        <v>277.8</v>
      </c>
    </row>
    <row r="328" spans="1:11" x14ac:dyDescent="0.3">
      <c r="A328">
        <v>2026</v>
      </c>
      <c r="B328">
        <v>1</v>
      </c>
      <c r="C328" t="s">
        <v>11</v>
      </c>
      <c r="D328" t="s">
        <v>111</v>
      </c>
      <c r="E328" t="str">
        <f>TEXT(11351301000186,"00000000000000")</f>
        <v>11351301000186</v>
      </c>
      <c r="F328" t="s">
        <v>122</v>
      </c>
      <c r="G328" t="s">
        <v>204</v>
      </c>
      <c r="H328">
        <v>90067126</v>
      </c>
      <c r="I328" t="s">
        <v>220</v>
      </c>
      <c r="J328">
        <v>21</v>
      </c>
      <c r="K328">
        <v>192.36</v>
      </c>
    </row>
    <row r="329" spans="1:11" x14ac:dyDescent="0.3">
      <c r="A329">
        <v>2026</v>
      </c>
      <c r="B329">
        <v>1</v>
      </c>
      <c r="C329" t="s">
        <v>11</v>
      </c>
      <c r="D329" t="s">
        <v>111</v>
      </c>
      <c r="E329" t="str">
        <f>TEXT(11351301000186,"00000000000000")</f>
        <v>11351301000186</v>
      </c>
      <c r="F329" t="s">
        <v>122</v>
      </c>
      <c r="G329" t="s">
        <v>204</v>
      </c>
      <c r="H329">
        <v>90068505</v>
      </c>
      <c r="I329" t="s">
        <v>221</v>
      </c>
      <c r="J329">
        <v>5</v>
      </c>
      <c r="K329">
        <v>2.95</v>
      </c>
    </row>
    <row r="330" spans="1:11" x14ac:dyDescent="0.3">
      <c r="A330">
        <v>2026</v>
      </c>
      <c r="B330">
        <v>1</v>
      </c>
      <c r="C330" t="s">
        <v>11</v>
      </c>
      <c r="D330" t="s">
        <v>111</v>
      </c>
      <c r="E330" t="str">
        <f>TEXT(11351301000186,"00000000000000")</f>
        <v>11351301000186</v>
      </c>
      <c r="F330" t="s">
        <v>122</v>
      </c>
      <c r="G330" t="s">
        <v>204</v>
      </c>
      <c r="H330">
        <v>90072081</v>
      </c>
      <c r="I330" t="s">
        <v>222</v>
      </c>
      <c r="J330">
        <v>81</v>
      </c>
      <c r="K330">
        <v>54.27</v>
      </c>
    </row>
    <row r="331" spans="1:11" x14ac:dyDescent="0.3">
      <c r="A331">
        <v>2026</v>
      </c>
      <c r="B331">
        <v>1</v>
      </c>
      <c r="C331" t="s">
        <v>11</v>
      </c>
      <c r="D331" t="s">
        <v>111</v>
      </c>
      <c r="E331" t="str">
        <f>TEXT(11351301000186,"00000000000000")</f>
        <v>11351301000186</v>
      </c>
      <c r="F331" t="s">
        <v>122</v>
      </c>
      <c r="G331" t="s">
        <v>204</v>
      </c>
      <c r="H331">
        <v>90073070</v>
      </c>
      <c r="I331" t="s">
        <v>223</v>
      </c>
      <c r="J331">
        <v>5</v>
      </c>
      <c r="K331">
        <v>1.95</v>
      </c>
    </row>
    <row r="332" spans="1:11" x14ac:dyDescent="0.3">
      <c r="A332">
        <v>2026</v>
      </c>
      <c r="B332">
        <v>1</v>
      </c>
      <c r="C332" t="s">
        <v>11</v>
      </c>
      <c r="D332" t="s">
        <v>111</v>
      </c>
      <c r="E332" t="str">
        <f>TEXT(11351301000186,"00000000000000")</f>
        <v>11351301000186</v>
      </c>
      <c r="F332" t="s">
        <v>122</v>
      </c>
      <c r="G332" t="s">
        <v>204</v>
      </c>
      <c r="H332">
        <v>90094786</v>
      </c>
      <c r="I332" t="s">
        <v>224</v>
      </c>
      <c r="J332">
        <v>1</v>
      </c>
      <c r="K332">
        <v>37.909999999999997</v>
      </c>
    </row>
    <row r="333" spans="1:11" x14ac:dyDescent="0.3">
      <c r="A333">
        <v>2026</v>
      </c>
      <c r="B333">
        <v>1</v>
      </c>
      <c r="C333" t="s">
        <v>11</v>
      </c>
      <c r="D333" t="s">
        <v>111</v>
      </c>
      <c r="E333" t="str">
        <f>TEXT(11351301000186,"00000000000000")</f>
        <v>11351301000186</v>
      </c>
      <c r="F333" t="s">
        <v>122</v>
      </c>
      <c r="G333" t="s">
        <v>204</v>
      </c>
      <c r="H333">
        <v>90095880</v>
      </c>
      <c r="I333" t="s">
        <v>225</v>
      </c>
      <c r="J333">
        <v>110</v>
      </c>
      <c r="K333">
        <v>1.1000000000000001</v>
      </c>
    </row>
    <row r="334" spans="1:11" x14ac:dyDescent="0.3">
      <c r="A334">
        <v>2026</v>
      </c>
      <c r="B334">
        <v>1</v>
      </c>
      <c r="C334" t="s">
        <v>11</v>
      </c>
      <c r="D334" t="s">
        <v>111</v>
      </c>
      <c r="E334" t="str">
        <f>TEXT(11351301000186,"00000000000000")</f>
        <v>11351301000186</v>
      </c>
      <c r="F334" t="s">
        <v>122</v>
      </c>
      <c r="G334" t="s">
        <v>204</v>
      </c>
      <c r="H334">
        <v>90095936</v>
      </c>
      <c r="I334" t="s">
        <v>226</v>
      </c>
      <c r="J334">
        <v>2</v>
      </c>
      <c r="K334">
        <v>5</v>
      </c>
    </row>
    <row r="335" spans="1:11" x14ac:dyDescent="0.3">
      <c r="A335">
        <v>2026</v>
      </c>
      <c r="B335">
        <v>1</v>
      </c>
      <c r="C335" t="s">
        <v>11</v>
      </c>
      <c r="D335" t="s">
        <v>111</v>
      </c>
      <c r="E335" t="str">
        <f>TEXT(11351301000186,"00000000000000")</f>
        <v>11351301000186</v>
      </c>
      <c r="F335" t="s">
        <v>122</v>
      </c>
      <c r="G335" t="s">
        <v>204</v>
      </c>
      <c r="H335">
        <v>90096150</v>
      </c>
      <c r="I335" t="s">
        <v>227</v>
      </c>
      <c r="J335">
        <v>3</v>
      </c>
      <c r="K335">
        <v>7.86</v>
      </c>
    </row>
    <row r="336" spans="1:11" x14ac:dyDescent="0.3">
      <c r="A336">
        <v>2026</v>
      </c>
      <c r="B336">
        <v>1</v>
      </c>
      <c r="C336" t="s">
        <v>11</v>
      </c>
      <c r="D336" t="s">
        <v>111</v>
      </c>
      <c r="E336" t="str">
        <f>TEXT(11351301000186,"00000000000000")</f>
        <v>11351301000186</v>
      </c>
      <c r="F336" t="s">
        <v>122</v>
      </c>
      <c r="G336" t="s">
        <v>204</v>
      </c>
      <c r="H336">
        <v>90096991</v>
      </c>
      <c r="I336" t="s">
        <v>228</v>
      </c>
      <c r="J336">
        <v>1</v>
      </c>
      <c r="K336">
        <v>2.64</v>
      </c>
    </row>
    <row r="337" spans="1:11" x14ac:dyDescent="0.3">
      <c r="A337">
        <v>2026</v>
      </c>
      <c r="B337">
        <v>1</v>
      </c>
      <c r="C337" t="s">
        <v>11</v>
      </c>
      <c r="D337" t="s">
        <v>111</v>
      </c>
      <c r="E337" t="str">
        <f>TEXT(11351301000186,"00000000000000")</f>
        <v>11351301000186</v>
      </c>
      <c r="F337" t="s">
        <v>122</v>
      </c>
      <c r="G337" t="s">
        <v>204</v>
      </c>
      <c r="H337">
        <v>90097378</v>
      </c>
      <c r="I337" t="s">
        <v>229</v>
      </c>
      <c r="J337">
        <v>2</v>
      </c>
      <c r="K337">
        <v>22.98</v>
      </c>
    </row>
    <row r="338" spans="1:11" x14ac:dyDescent="0.3">
      <c r="A338">
        <v>2026</v>
      </c>
      <c r="B338">
        <v>1</v>
      </c>
      <c r="C338" t="s">
        <v>11</v>
      </c>
      <c r="D338" t="s">
        <v>111</v>
      </c>
      <c r="E338" t="str">
        <f>TEXT(11351301000186,"00000000000000")</f>
        <v>11351301000186</v>
      </c>
      <c r="F338" t="s">
        <v>122</v>
      </c>
      <c r="G338" t="s">
        <v>204</v>
      </c>
      <c r="H338">
        <v>90097556</v>
      </c>
      <c r="I338" t="s">
        <v>230</v>
      </c>
      <c r="J338">
        <v>2</v>
      </c>
      <c r="K338">
        <v>10.26</v>
      </c>
    </row>
    <row r="339" spans="1:11" x14ac:dyDescent="0.3">
      <c r="A339">
        <v>2026</v>
      </c>
      <c r="B339">
        <v>1</v>
      </c>
      <c r="C339" t="s">
        <v>11</v>
      </c>
      <c r="D339" t="s">
        <v>111</v>
      </c>
      <c r="E339" t="str">
        <f>TEXT(11351301000186,"00000000000000")</f>
        <v>11351301000186</v>
      </c>
      <c r="F339" t="s">
        <v>122</v>
      </c>
      <c r="G339" t="s">
        <v>204</v>
      </c>
      <c r="H339">
        <v>90098102</v>
      </c>
      <c r="I339" t="s">
        <v>231</v>
      </c>
      <c r="J339">
        <v>1</v>
      </c>
      <c r="K339">
        <v>2.52</v>
      </c>
    </row>
    <row r="340" spans="1:11" x14ac:dyDescent="0.3">
      <c r="A340">
        <v>2026</v>
      </c>
      <c r="B340">
        <v>1</v>
      </c>
      <c r="C340" t="s">
        <v>11</v>
      </c>
      <c r="D340" t="s">
        <v>111</v>
      </c>
      <c r="E340" t="str">
        <f>TEXT(11351301000186,"00000000000000")</f>
        <v>11351301000186</v>
      </c>
      <c r="F340" t="s">
        <v>122</v>
      </c>
      <c r="G340" t="s">
        <v>204</v>
      </c>
      <c r="H340">
        <v>90101383</v>
      </c>
      <c r="I340" t="s">
        <v>232</v>
      </c>
      <c r="J340">
        <v>1</v>
      </c>
      <c r="K340">
        <v>7.45</v>
      </c>
    </row>
    <row r="341" spans="1:11" x14ac:dyDescent="0.3">
      <c r="A341">
        <v>2026</v>
      </c>
      <c r="B341">
        <v>1</v>
      </c>
      <c r="C341" t="s">
        <v>11</v>
      </c>
      <c r="D341" t="s">
        <v>111</v>
      </c>
      <c r="E341" t="str">
        <f>TEXT(11351301000186,"00000000000000")</f>
        <v>11351301000186</v>
      </c>
      <c r="F341" t="s">
        <v>122</v>
      </c>
      <c r="G341" t="s">
        <v>204</v>
      </c>
      <c r="H341">
        <v>90103025</v>
      </c>
      <c r="I341" t="s">
        <v>233</v>
      </c>
      <c r="J341">
        <v>20</v>
      </c>
      <c r="K341">
        <v>100.2</v>
      </c>
    </row>
    <row r="342" spans="1:11" x14ac:dyDescent="0.3">
      <c r="A342">
        <v>2026</v>
      </c>
      <c r="B342">
        <v>1</v>
      </c>
      <c r="C342" t="s">
        <v>11</v>
      </c>
      <c r="D342" t="s">
        <v>111</v>
      </c>
      <c r="E342" t="str">
        <f>TEXT(11351301000186,"00000000000000")</f>
        <v>11351301000186</v>
      </c>
      <c r="F342" t="s">
        <v>122</v>
      </c>
      <c r="G342" t="s">
        <v>204</v>
      </c>
      <c r="H342">
        <v>90122577</v>
      </c>
      <c r="I342" t="s">
        <v>234</v>
      </c>
      <c r="J342">
        <v>16</v>
      </c>
      <c r="K342">
        <v>110.24</v>
      </c>
    </row>
    <row r="343" spans="1:11" x14ac:dyDescent="0.3">
      <c r="A343">
        <v>2026</v>
      </c>
      <c r="B343">
        <v>1</v>
      </c>
      <c r="C343" t="s">
        <v>11</v>
      </c>
      <c r="D343" t="s">
        <v>111</v>
      </c>
      <c r="E343" t="str">
        <f>TEXT(11351301000186,"00000000000000")</f>
        <v>11351301000186</v>
      </c>
      <c r="F343" t="s">
        <v>122</v>
      </c>
      <c r="G343" t="s">
        <v>204</v>
      </c>
      <c r="H343">
        <v>90123085</v>
      </c>
      <c r="I343" t="s">
        <v>235</v>
      </c>
      <c r="J343">
        <v>6</v>
      </c>
      <c r="K343">
        <v>62.46</v>
      </c>
    </row>
    <row r="344" spans="1:11" x14ac:dyDescent="0.3">
      <c r="A344">
        <v>2026</v>
      </c>
      <c r="B344">
        <v>1</v>
      </c>
      <c r="C344" t="s">
        <v>11</v>
      </c>
      <c r="D344" t="s">
        <v>111</v>
      </c>
      <c r="E344" t="str">
        <f>TEXT(11351301000186,"00000000000000")</f>
        <v>11351301000186</v>
      </c>
      <c r="F344" t="s">
        <v>122</v>
      </c>
      <c r="G344" t="s">
        <v>204</v>
      </c>
      <c r="H344">
        <v>90124979</v>
      </c>
      <c r="I344" t="s">
        <v>236</v>
      </c>
      <c r="J344">
        <v>4</v>
      </c>
      <c r="K344">
        <v>374.84</v>
      </c>
    </row>
    <row r="345" spans="1:11" x14ac:dyDescent="0.3">
      <c r="A345">
        <v>2026</v>
      </c>
      <c r="B345">
        <v>1</v>
      </c>
      <c r="C345" t="s">
        <v>11</v>
      </c>
      <c r="D345" t="s">
        <v>111</v>
      </c>
      <c r="E345" t="str">
        <f>TEXT(11351301000186,"00000000000000")</f>
        <v>11351301000186</v>
      </c>
      <c r="F345" t="s">
        <v>122</v>
      </c>
      <c r="G345" t="s">
        <v>204</v>
      </c>
      <c r="H345">
        <v>90136209</v>
      </c>
      <c r="I345" t="s">
        <v>237</v>
      </c>
      <c r="J345">
        <v>12</v>
      </c>
      <c r="K345">
        <v>87.36</v>
      </c>
    </row>
    <row r="346" spans="1:11" x14ac:dyDescent="0.3">
      <c r="A346">
        <v>2026</v>
      </c>
      <c r="B346">
        <v>1</v>
      </c>
      <c r="C346" t="s">
        <v>11</v>
      </c>
      <c r="D346" t="s">
        <v>111</v>
      </c>
      <c r="E346" t="str">
        <f>TEXT(11351301000186,"00000000000000")</f>
        <v>11351301000186</v>
      </c>
      <c r="F346" t="s">
        <v>122</v>
      </c>
      <c r="G346" t="s">
        <v>204</v>
      </c>
      <c r="H346">
        <v>90137345</v>
      </c>
      <c r="I346" t="s">
        <v>238</v>
      </c>
      <c r="J346">
        <v>2</v>
      </c>
      <c r="K346">
        <v>2.98</v>
      </c>
    </row>
    <row r="347" spans="1:11" x14ac:dyDescent="0.3">
      <c r="A347">
        <v>2026</v>
      </c>
      <c r="B347">
        <v>1</v>
      </c>
      <c r="C347" t="s">
        <v>11</v>
      </c>
      <c r="D347" t="s">
        <v>111</v>
      </c>
      <c r="E347" t="str">
        <f>TEXT(11351301000186,"00000000000000")</f>
        <v>11351301000186</v>
      </c>
      <c r="F347" t="s">
        <v>122</v>
      </c>
      <c r="G347" t="s">
        <v>204</v>
      </c>
      <c r="H347">
        <v>90137876</v>
      </c>
      <c r="I347" t="s">
        <v>239</v>
      </c>
      <c r="J347">
        <v>18</v>
      </c>
      <c r="K347">
        <v>61.2</v>
      </c>
    </row>
    <row r="348" spans="1:11" x14ac:dyDescent="0.3">
      <c r="A348">
        <v>2026</v>
      </c>
      <c r="B348">
        <v>1</v>
      </c>
      <c r="C348" t="s">
        <v>11</v>
      </c>
      <c r="D348" t="s">
        <v>111</v>
      </c>
      <c r="E348" t="str">
        <f>TEXT(11351301000186,"00000000000000")</f>
        <v>11351301000186</v>
      </c>
      <c r="F348" t="s">
        <v>122</v>
      </c>
      <c r="G348" t="s">
        <v>204</v>
      </c>
      <c r="H348">
        <v>90168550</v>
      </c>
      <c r="I348" t="s">
        <v>240</v>
      </c>
      <c r="J348">
        <v>5</v>
      </c>
      <c r="K348">
        <v>30.3</v>
      </c>
    </row>
    <row r="349" spans="1:11" x14ac:dyDescent="0.3">
      <c r="A349">
        <v>2026</v>
      </c>
      <c r="B349">
        <v>1</v>
      </c>
      <c r="C349" t="s">
        <v>11</v>
      </c>
      <c r="D349" t="s">
        <v>111</v>
      </c>
      <c r="E349" t="str">
        <f>TEXT(11351301000186,"00000000000000")</f>
        <v>11351301000186</v>
      </c>
      <c r="F349" t="s">
        <v>122</v>
      </c>
      <c r="G349" t="s">
        <v>204</v>
      </c>
      <c r="H349">
        <v>90184920</v>
      </c>
      <c r="I349" t="s">
        <v>241</v>
      </c>
      <c r="J349">
        <v>1</v>
      </c>
      <c r="K349">
        <v>0.21</v>
      </c>
    </row>
    <row r="350" spans="1:11" x14ac:dyDescent="0.3">
      <c r="A350">
        <v>2026</v>
      </c>
      <c r="B350">
        <v>1</v>
      </c>
      <c r="C350" t="s">
        <v>11</v>
      </c>
      <c r="D350" t="s">
        <v>111</v>
      </c>
      <c r="E350" t="str">
        <f>TEXT(11351301000186,"00000000000000")</f>
        <v>11351301000186</v>
      </c>
      <c r="F350" t="s">
        <v>122</v>
      </c>
      <c r="G350" t="s">
        <v>204</v>
      </c>
      <c r="H350">
        <v>90195051</v>
      </c>
      <c r="I350" t="s">
        <v>242</v>
      </c>
      <c r="J350">
        <v>1</v>
      </c>
      <c r="K350">
        <v>2.57</v>
      </c>
    </row>
    <row r="351" spans="1:11" x14ac:dyDescent="0.3">
      <c r="A351">
        <v>2026</v>
      </c>
      <c r="B351">
        <v>1</v>
      </c>
      <c r="C351" t="s">
        <v>11</v>
      </c>
      <c r="D351" t="s">
        <v>111</v>
      </c>
      <c r="E351" t="str">
        <f>TEXT(11351301000186,"00000000000000")</f>
        <v>11351301000186</v>
      </c>
      <c r="F351" t="s">
        <v>122</v>
      </c>
      <c r="G351" t="s">
        <v>204</v>
      </c>
      <c r="H351">
        <v>90208501</v>
      </c>
      <c r="I351" t="s">
        <v>243</v>
      </c>
      <c r="J351">
        <v>4</v>
      </c>
      <c r="K351">
        <v>5.6</v>
      </c>
    </row>
    <row r="352" spans="1:11" x14ac:dyDescent="0.3">
      <c r="A352">
        <v>2026</v>
      </c>
      <c r="B352">
        <v>1</v>
      </c>
      <c r="C352" t="s">
        <v>11</v>
      </c>
      <c r="D352" t="s">
        <v>111</v>
      </c>
      <c r="E352" t="str">
        <f>TEXT(11351301000186,"00000000000000")</f>
        <v>11351301000186</v>
      </c>
      <c r="F352" t="s">
        <v>122</v>
      </c>
      <c r="G352" t="s">
        <v>204</v>
      </c>
      <c r="H352">
        <v>90209915</v>
      </c>
      <c r="I352" t="s">
        <v>244</v>
      </c>
      <c r="J352">
        <v>1</v>
      </c>
      <c r="K352">
        <v>23.82</v>
      </c>
    </row>
    <row r="353" spans="1:11" x14ac:dyDescent="0.3">
      <c r="A353">
        <v>2026</v>
      </c>
      <c r="B353">
        <v>1</v>
      </c>
      <c r="C353" t="s">
        <v>11</v>
      </c>
      <c r="D353" t="s">
        <v>111</v>
      </c>
      <c r="E353" t="str">
        <f>TEXT(11351301000186,"00000000000000")</f>
        <v>11351301000186</v>
      </c>
      <c r="F353" t="s">
        <v>122</v>
      </c>
      <c r="G353" t="s">
        <v>204</v>
      </c>
      <c r="H353">
        <v>90216539</v>
      </c>
      <c r="I353" t="s">
        <v>245</v>
      </c>
      <c r="J353">
        <v>1</v>
      </c>
      <c r="K353">
        <v>0.98</v>
      </c>
    </row>
    <row r="354" spans="1:11" x14ac:dyDescent="0.3">
      <c r="A354">
        <v>2026</v>
      </c>
      <c r="B354">
        <v>1</v>
      </c>
      <c r="C354" t="s">
        <v>11</v>
      </c>
      <c r="D354" t="s">
        <v>111</v>
      </c>
      <c r="E354" t="str">
        <f>TEXT(11351301000186,"00000000000000")</f>
        <v>11351301000186</v>
      </c>
      <c r="F354" t="s">
        <v>122</v>
      </c>
      <c r="G354" t="s">
        <v>204</v>
      </c>
      <c r="H354">
        <v>90249992</v>
      </c>
      <c r="I354" t="s">
        <v>246</v>
      </c>
      <c r="J354">
        <v>3</v>
      </c>
      <c r="K354">
        <v>568.59</v>
      </c>
    </row>
    <row r="355" spans="1:11" x14ac:dyDescent="0.3">
      <c r="A355">
        <v>2026</v>
      </c>
      <c r="B355">
        <v>1</v>
      </c>
      <c r="C355" t="s">
        <v>11</v>
      </c>
      <c r="D355" t="s">
        <v>111</v>
      </c>
      <c r="E355" t="str">
        <f>TEXT(11351301000186,"00000000000000")</f>
        <v>11351301000186</v>
      </c>
      <c r="F355" t="s">
        <v>122</v>
      </c>
      <c r="G355" t="s">
        <v>204</v>
      </c>
      <c r="H355">
        <v>90255380</v>
      </c>
      <c r="I355" t="s">
        <v>247</v>
      </c>
      <c r="J355">
        <v>40</v>
      </c>
      <c r="K355">
        <v>2.4</v>
      </c>
    </row>
    <row r="356" spans="1:11" x14ac:dyDescent="0.3">
      <c r="A356">
        <v>2026</v>
      </c>
      <c r="B356">
        <v>1</v>
      </c>
      <c r="C356" t="s">
        <v>11</v>
      </c>
      <c r="D356" t="s">
        <v>111</v>
      </c>
      <c r="E356" t="str">
        <f>TEXT(11351301000186,"00000000000000")</f>
        <v>11351301000186</v>
      </c>
      <c r="F356" t="s">
        <v>122</v>
      </c>
      <c r="G356" t="s">
        <v>204</v>
      </c>
      <c r="H356">
        <v>90257570</v>
      </c>
      <c r="I356" t="s">
        <v>248</v>
      </c>
      <c r="J356">
        <v>2</v>
      </c>
      <c r="K356">
        <v>2.36</v>
      </c>
    </row>
    <row r="357" spans="1:11" x14ac:dyDescent="0.3">
      <c r="A357">
        <v>2026</v>
      </c>
      <c r="B357">
        <v>1</v>
      </c>
      <c r="C357" t="s">
        <v>11</v>
      </c>
      <c r="D357" t="s">
        <v>111</v>
      </c>
      <c r="E357" t="str">
        <f>TEXT(11351301000186,"00000000000000")</f>
        <v>11351301000186</v>
      </c>
      <c r="F357" t="s">
        <v>122</v>
      </c>
      <c r="G357" t="s">
        <v>204</v>
      </c>
      <c r="H357">
        <v>90257588</v>
      </c>
      <c r="I357" t="s">
        <v>249</v>
      </c>
      <c r="J357">
        <v>8</v>
      </c>
      <c r="K357">
        <v>82.72</v>
      </c>
    </row>
    <row r="358" spans="1:11" x14ac:dyDescent="0.3">
      <c r="A358">
        <v>2026</v>
      </c>
      <c r="B358">
        <v>1</v>
      </c>
      <c r="C358" t="s">
        <v>11</v>
      </c>
      <c r="D358" t="s">
        <v>111</v>
      </c>
      <c r="E358" t="str">
        <f>TEXT(11351301000186,"00000000000000")</f>
        <v>11351301000186</v>
      </c>
      <c r="F358" t="s">
        <v>122</v>
      </c>
      <c r="G358" t="s">
        <v>204</v>
      </c>
      <c r="H358">
        <v>90268377</v>
      </c>
      <c r="I358" t="s">
        <v>250</v>
      </c>
      <c r="J358">
        <v>9</v>
      </c>
      <c r="K358">
        <v>0.9</v>
      </c>
    </row>
    <row r="359" spans="1:11" x14ac:dyDescent="0.3">
      <c r="A359">
        <v>2026</v>
      </c>
      <c r="B359">
        <v>1</v>
      </c>
      <c r="C359" t="s">
        <v>11</v>
      </c>
      <c r="D359" t="s">
        <v>111</v>
      </c>
      <c r="E359" t="str">
        <f>TEXT(11351301000186,"00000000000000")</f>
        <v>11351301000186</v>
      </c>
      <c r="F359" t="s">
        <v>122</v>
      </c>
      <c r="G359" t="s">
        <v>204</v>
      </c>
      <c r="H359">
        <v>90269993</v>
      </c>
      <c r="I359" t="s">
        <v>251</v>
      </c>
      <c r="J359">
        <v>1</v>
      </c>
      <c r="K359">
        <v>5.67</v>
      </c>
    </row>
    <row r="360" spans="1:11" x14ac:dyDescent="0.3">
      <c r="A360">
        <v>2026</v>
      </c>
      <c r="B360">
        <v>1</v>
      </c>
      <c r="C360" t="s">
        <v>11</v>
      </c>
      <c r="D360" t="s">
        <v>111</v>
      </c>
      <c r="E360" t="str">
        <f>TEXT(11351301000186,"00000000000000")</f>
        <v>11351301000186</v>
      </c>
      <c r="F360" t="s">
        <v>122</v>
      </c>
      <c r="G360" t="s">
        <v>204</v>
      </c>
      <c r="H360">
        <v>90290283</v>
      </c>
      <c r="I360" t="s">
        <v>252</v>
      </c>
      <c r="J360">
        <v>5</v>
      </c>
      <c r="K360">
        <v>2.0499999999999998</v>
      </c>
    </row>
    <row r="361" spans="1:11" x14ac:dyDescent="0.3">
      <c r="A361">
        <v>2026</v>
      </c>
      <c r="B361">
        <v>1</v>
      </c>
      <c r="C361" t="s">
        <v>11</v>
      </c>
      <c r="D361" t="s">
        <v>111</v>
      </c>
      <c r="E361" t="str">
        <f>TEXT(11351301000186,"00000000000000")</f>
        <v>11351301000186</v>
      </c>
      <c r="F361" t="s">
        <v>122</v>
      </c>
      <c r="G361" t="s">
        <v>204</v>
      </c>
      <c r="H361">
        <v>90290399</v>
      </c>
      <c r="I361" t="s">
        <v>253</v>
      </c>
      <c r="J361">
        <v>5</v>
      </c>
      <c r="K361">
        <v>38.35</v>
      </c>
    </row>
    <row r="362" spans="1:11" x14ac:dyDescent="0.3">
      <c r="A362">
        <v>2026</v>
      </c>
      <c r="B362">
        <v>1</v>
      </c>
      <c r="C362" t="s">
        <v>11</v>
      </c>
      <c r="D362" t="s">
        <v>111</v>
      </c>
      <c r="E362" t="str">
        <f>TEXT(11351301000186,"00000000000000")</f>
        <v>11351301000186</v>
      </c>
      <c r="F362" t="s">
        <v>122</v>
      </c>
      <c r="G362" t="s">
        <v>204</v>
      </c>
      <c r="H362">
        <v>90295080</v>
      </c>
      <c r="I362" t="s">
        <v>254</v>
      </c>
      <c r="J362">
        <v>5</v>
      </c>
      <c r="K362">
        <v>17.600000000000001</v>
      </c>
    </row>
    <row r="363" spans="1:11" x14ac:dyDescent="0.3">
      <c r="A363">
        <v>2026</v>
      </c>
      <c r="B363">
        <v>1</v>
      </c>
      <c r="C363" t="s">
        <v>11</v>
      </c>
      <c r="D363" t="s">
        <v>111</v>
      </c>
      <c r="E363" t="str">
        <f>TEXT(11351301000186,"00000000000000")</f>
        <v>11351301000186</v>
      </c>
      <c r="F363" t="s">
        <v>122</v>
      </c>
      <c r="G363" t="s">
        <v>204</v>
      </c>
      <c r="H363">
        <v>90299000</v>
      </c>
      <c r="I363" t="s">
        <v>255</v>
      </c>
      <c r="J363">
        <v>5</v>
      </c>
      <c r="K363">
        <v>8.5</v>
      </c>
    </row>
    <row r="364" spans="1:11" x14ac:dyDescent="0.3">
      <c r="A364">
        <v>2026</v>
      </c>
      <c r="B364">
        <v>1</v>
      </c>
      <c r="C364" t="s">
        <v>11</v>
      </c>
      <c r="D364" t="s">
        <v>111</v>
      </c>
      <c r="E364" t="str">
        <f>TEXT(11351301000186,"00000000000000")</f>
        <v>11351301000186</v>
      </c>
      <c r="F364" t="s">
        <v>122</v>
      </c>
      <c r="G364" t="s">
        <v>204</v>
      </c>
      <c r="H364">
        <v>90302311</v>
      </c>
      <c r="I364" t="s">
        <v>256</v>
      </c>
      <c r="J364">
        <v>1</v>
      </c>
      <c r="K364">
        <v>47.94</v>
      </c>
    </row>
    <row r="365" spans="1:11" x14ac:dyDescent="0.3">
      <c r="A365">
        <v>2026</v>
      </c>
      <c r="B365">
        <v>1</v>
      </c>
      <c r="C365" t="s">
        <v>11</v>
      </c>
      <c r="D365" t="s">
        <v>111</v>
      </c>
      <c r="E365" t="str">
        <f>TEXT(11351301000186,"00000000000000")</f>
        <v>11351301000186</v>
      </c>
      <c r="F365" t="s">
        <v>122</v>
      </c>
      <c r="G365" t="s">
        <v>204</v>
      </c>
      <c r="H365">
        <v>90310063</v>
      </c>
      <c r="I365" t="s">
        <v>257</v>
      </c>
      <c r="J365">
        <v>3</v>
      </c>
      <c r="K365">
        <v>3.36</v>
      </c>
    </row>
    <row r="366" spans="1:11" x14ac:dyDescent="0.3">
      <c r="A366">
        <v>2026</v>
      </c>
      <c r="B366">
        <v>1</v>
      </c>
      <c r="C366" t="s">
        <v>11</v>
      </c>
      <c r="D366" t="s">
        <v>111</v>
      </c>
      <c r="E366" t="str">
        <f>TEXT(11351301000186,"00000000000000")</f>
        <v>11351301000186</v>
      </c>
      <c r="F366" t="s">
        <v>122</v>
      </c>
      <c r="G366" t="s">
        <v>204</v>
      </c>
      <c r="H366">
        <v>90322053</v>
      </c>
      <c r="I366" t="s">
        <v>258</v>
      </c>
      <c r="J366">
        <v>5</v>
      </c>
      <c r="K366">
        <v>17.899999999999999</v>
      </c>
    </row>
    <row r="367" spans="1:11" x14ac:dyDescent="0.3">
      <c r="A367">
        <v>2026</v>
      </c>
      <c r="B367">
        <v>1</v>
      </c>
      <c r="C367" t="s">
        <v>11</v>
      </c>
      <c r="D367" t="s">
        <v>111</v>
      </c>
      <c r="E367" t="str">
        <f>TEXT(11351301000186,"00000000000000")</f>
        <v>11351301000186</v>
      </c>
      <c r="F367" t="s">
        <v>122</v>
      </c>
      <c r="G367" t="s">
        <v>204</v>
      </c>
      <c r="H367">
        <v>90325362</v>
      </c>
      <c r="I367" t="s">
        <v>259</v>
      </c>
      <c r="J367">
        <v>300</v>
      </c>
      <c r="K367">
        <v>9</v>
      </c>
    </row>
    <row r="368" spans="1:11" x14ac:dyDescent="0.3">
      <c r="A368">
        <v>2026</v>
      </c>
      <c r="B368">
        <v>1</v>
      </c>
      <c r="C368" t="s">
        <v>11</v>
      </c>
      <c r="D368" t="s">
        <v>111</v>
      </c>
      <c r="E368" t="str">
        <f>TEXT(11351301000186,"00000000000000")</f>
        <v>11351301000186</v>
      </c>
      <c r="F368" t="s">
        <v>122</v>
      </c>
      <c r="G368" t="s">
        <v>204</v>
      </c>
      <c r="H368">
        <v>90335198</v>
      </c>
      <c r="I368" t="s">
        <v>260</v>
      </c>
      <c r="J368">
        <v>1</v>
      </c>
      <c r="K368">
        <v>85.5</v>
      </c>
    </row>
    <row r="369" spans="1:11" x14ac:dyDescent="0.3">
      <c r="A369">
        <v>2026</v>
      </c>
      <c r="B369">
        <v>1</v>
      </c>
      <c r="C369" t="s">
        <v>11</v>
      </c>
      <c r="D369" t="s">
        <v>111</v>
      </c>
      <c r="E369" t="str">
        <f>TEXT(11351301000186,"00000000000000")</f>
        <v>11351301000186</v>
      </c>
      <c r="F369" t="s">
        <v>122</v>
      </c>
      <c r="G369" t="s">
        <v>204</v>
      </c>
      <c r="H369">
        <v>90338200</v>
      </c>
      <c r="I369" t="s">
        <v>261</v>
      </c>
      <c r="J369">
        <v>4</v>
      </c>
      <c r="K369">
        <v>4.04</v>
      </c>
    </row>
    <row r="370" spans="1:11" x14ac:dyDescent="0.3">
      <c r="A370">
        <v>2026</v>
      </c>
      <c r="B370">
        <v>1</v>
      </c>
      <c r="C370" t="s">
        <v>11</v>
      </c>
      <c r="D370" t="s">
        <v>111</v>
      </c>
      <c r="E370" t="str">
        <f>TEXT(11351301000186,"00000000000000")</f>
        <v>11351301000186</v>
      </c>
      <c r="F370" t="s">
        <v>122</v>
      </c>
      <c r="G370" t="s">
        <v>204</v>
      </c>
      <c r="H370">
        <v>90373715</v>
      </c>
      <c r="I370" t="s">
        <v>262</v>
      </c>
      <c r="J370">
        <v>2</v>
      </c>
      <c r="K370">
        <v>48.28</v>
      </c>
    </row>
    <row r="371" spans="1:11" x14ac:dyDescent="0.3">
      <c r="A371">
        <v>2026</v>
      </c>
      <c r="B371">
        <v>1</v>
      </c>
      <c r="C371" t="s">
        <v>11</v>
      </c>
      <c r="D371" t="s">
        <v>111</v>
      </c>
      <c r="E371" t="str">
        <f>TEXT(11351301000186,"00000000000000")</f>
        <v>11351301000186</v>
      </c>
      <c r="F371" t="s">
        <v>122</v>
      </c>
      <c r="G371" t="s">
        <v>204</v>
      </c>
      <c r="H371">
        <v>90375998</v>
      </c>
      <c r="I371" t="s">
        <v>263</v>
      </c>
      <c r="J371">
        <v>3</v>
      </c>
      <c r="K371">
        <v>14.58</v>
      </c>
    </row>
    <row r="372" spans="1:11" x14ac:dyDescent="0.3">
      <c r="A372">
        <v>2026</v>
      </c>
      <c r="B372">
        <v>1</v>
      </c>
      <c r="C372" t="s">
        <v>11</v>
      </c>
      <c r="D372" t="s">
        <v>111</v>
      </c>
      <c r="E372" t="str">
        <f>TEXT(11351301000186,"00000000000000")</f>
        <v>11351301000186</v>
      </c>
      <c r="F372" t="s">
        <v>122</v>
      </c>
      <c r="G372" t="s">
        <v>204</v>
      </c>
      <c r="H372">
        <v>90403398</v>
      </c>
      <c r="I372" t="s">
        <v>264</v>
      </c>
      <c r="J372">
        <v>1</v>
      </c>
      <c r="K372">
        <v>141.61000000000001</v>
      </c>
    </row>
    <row r="373" spans="1:11" x14ac:dyDescent="0.3">
      <c r="A373">
        <v>2026</v>
      </c>
      <c r="B373">
        <v>1</v>
      </c>
      <c r="C373" t="s">
        <v>11</v>
      </c>
      <c r="D373" t="s">
        <v>111</v>
      </c>
      <c r="E373" t="str">
        <f>TEXT(11351301000186,"00000000000000")</f>
        <v>11351301000186</v>
      </c>
      <c r="F373" t="s">
        <v>122</v>
      </c>
      <c r="G373" t="s">
        <v>204</v>
      </c>
      <c r="H373">
        <v>90425014</v>
      </c>
      <c r="I373" t="s">
        <v>265</v>
      </c>
      <c r="J373">
        <v>21</v>
      </c>
      <c r="K373">
        <v>143.22</v>
      </c>
    </row>
    <row r="374" spans="1:11" x14ac:dyDescent="0.3">
      <c r="A374">
        <v>2026</v>
      </c>
      <c r="B374">
        <v>1</v>
      </c>
      <c r="C374" t="s">
        <v>11</v>
      </c>
      <c r="D374" t="s">
        <v>111</v>
      </c>
      <c r="E374" t="str">
        <f>TEXT(11351301000186,"00000000000000")</f>
        <v>11351301000186</v>
      </c>
      <c r="F374" t="s">
        <v>122</v>
      </c>
      <c r="G374" t="s">
        <v>204</v>
      </c>
      <c r="H374">
        <v>90446399</v>
      </c>
      <c r="I374" t="s">
        <v>266</v>
      </c>
      <c r="J374">
        <v>7</v>
      </c>
      <c r="K374">
        <v>219.94</v>
      </c>
    </row>
    <row r="375" spans="1:11" x14ac:dyDescent="0.3">
      <c r="A375">
        <v>2026</v>
      </c>
      <c r="B375">
        <v>1</v>
      </c>
      <c r="C375" t="s">
        <v>11</v>
      </c>
      <c r="D375" t="s">
        <v>111</v>
      </c>
      <c r="E375" t="str">
        <f>TEXT(11351301000186,"00000000000000")</f>
        <v>11351301000186</v>
      </c>
      <c r="F375" t="s">
        <v>122</v>
      </c>
      <c r="G375" t="s">
        <v>204</v>
      </c>
      <c r="H375">
        <v>90477014</v>
      </c>
      <c r="I375" t="s">
        <v>267</v>
      </c>
      <c r="J375">
        <v>1</v>
      </c>
      <c r="K375">
        <v>27.86</v>
      </c>
    </row>
    <row r="376" spans="1:11" x14ac:dyDescent="0.3">
      <c r="A376">
        <v>2026</v>
      </c>
      <c r="B376">
        <v>1</v>
      </c>
      <c r="C376" t="s">
        <v>11</v>
      </c>
      <c r="D376" t="s">
        <v>111</v>
      </c>
      <c r="E376" t="str">
        <f>TEXT(11351301000186,"00000000000000")</f>
        <v>11351301000186</v>
      </c>
      <c r="F376" t="s">
        <v>122</v>
      </c>
      <c r="G376" t="s">
        <v>204</v>
      </c>
      <c r="H376">
        <v>90494040</v>
      </c>
      <c r="I376" t="s">
        <v>268</v>
      </c>
      <c r="J376">
        <v>1</v>
      </c>
      <c r="K376">
        <v>5.86</v>
      </c>
    </row>
    <row r="377" spans="1:11" x14ac:dyDescent="0.3">
      <c r="A377">
        <v>2026</v>
      </c>
      <c r="B377">
        <v>1</v>
      </c>
      <c r="C377" t="s">
        <v>11</v>
      </c>
      <c r="D377" t="s">
        <v>111</v>
      </c>
      <c r="E377" t="str">
        <f>TEXT(11351301000186,"00000000000000")</f>
        <v>11351301000186</v>
      </c>
      <c r="F377" t="s">
        <v>122</v>
      </c>
      <c r="G377" t="s">
        <v>204</v>
      </c>
      <c r="H377">
        <v>90503678</v>
      </c>
      <c r="I377" t="s">
        <v>269</v>
      </c>
      <c r="J377">
        <v>8</v>
      </c>
      <c r="K377">
        <v>6.24</v>
      </c>
    </row>
    <row r="378" spans="1:11" x14ac:dyDescent="0.3">
      <c r="A378">
        <v>2026</v>
      </c>
      <c r="B378">
        <v>1</v>
      </c>
      <c r="C378" t="s">
        <v>11</v>
      </c>
      <c r="D378" t="s">
        <v>111</v>
      </c>
      <c r="E378" t="str">
        <f>TEXT(11351301000186,"00000000000000")</f>
        <v>11351301000186</v>
      </c>
      <c r="F378" t="s">
        <v>122</v>
      </c>
      <c r="G378" t="s">
        <v>204</v>
      </c>
      <c r="H378">
        <v>90506596</v>
      </c>
      <c r="I378" t="s">
        <v>270</v>
      </c>
      <c r="J378">
        <v>31</v>
      </c>
      <c r="K378">
        <v>49.29</v>
      </c>
    </row>
    <row r="379" spans="1:11" x14ac:dyDescent="0.3">
      <c r="A379">
        <v>2026</v>
      </c>
      <c r="B379">
        <v>1</v>
      </c>
      <c r="C379" t="s">
        <v>11</v>
      </c>
      <c r="D379" t="s">
        <v>111</v>
      </c>
      <c r="E379" t="str">
        <f>TEXT(11351301000186,"00000000000000")</f>
        <v>11351301000186</v>
      </c>
      <c r="F379" t="s">
        <v>122</v>
      </c>
      <c r="G379" t="s">
        <v>204</v>
      </c>
      <c r="H379">
        <v>90512405</v>
      </c>
      <c r="I379" t="s">
        <v>271</v>
      </c>
      <c r="J379">
        <v>1</v>
      </c>
      <c r="K379">
        <v>45.53</v>
      </c>
    </row>
    <row r="380" spans="1:11" x14ac:dyDescent="0.3">
      <c r="A380">
        <v>2026</v>
      </c>
      <c r="B380">
        <v>1</v>
      </c>
      <c r="C380" t="s">
        <v>11</v>
      </c>
      <c r="D380" t="s">
        <v>111</v>
      </c>
      <c r="E380" t="str">
        <f>TEXT(11351301000186,"00000000000000")</f>
        <v>11351301000186</v>
      </c>
      <c r="F380" t="s">
        <v>122</v>
      </c>
      <c r="G380" t="s">
        <v>204</v>
      </c>
      <c r="H380">
        <v>90516567</v>
      </c>
      <c r="I380" t="s">
        <v>272</v>
      </c>
      <c r="J380">
        <v>5</v>
      </c>
      <c r="K380">
        <v>11</v>
      </c>
    </row>
    <row r="381" spans="1:11" x14ac:dyDescent="0.3">
      <c r="A381">
        <v>2026</v>
      </c>
      <c r="B381">
        <v>1</v>
      </c>
      <c r="C381" t="s">
        <v>11</v>
      </c>
      <c r="D381" t="s">
        <v>111</v>
      </c>
      <c r="E381" t="str">
        <f>TEXT(12979968000190,"00000000000000")</f>
        <v>12979968000190</v>
      </c>
      <c r="F381" t="s">
        <v>273</v>
      </c>
      <c r="G381" t="s">
        <v>14</v>
      </c>
      <c r="H381">
        <v>28010060</v>
      </c>
      <c r="I381" t="s">
        <v>95</v>
      </c>
      <c r="J381">
        <v>2</v>
      </c>
      <c r="K381">
        <v>43.24</v>
      </c>
    </row>
    <row r="382" spans="1:11" x14ac:dyDescent="0.3">
      <c r="A382">
        <v>2026</v>
      </c>
      <c r="B382">
        <v>1</v>
      </c>
      <c r="C382" t="s">
        <v>11</v>
      </c>
      <c r="D382" t="s">
        <v>111</v>
      </c>
      <c r="E382" t="str">
        <f>TEXT(12979968000190,"00000000000000")</f>
        <v>12979968000190</v>
      </c>
      <c r="F382" t="s">
        <v>273</v>
      </c>
      <c r="G382" t="s">
        <v>14</v>
      </c>
      <c r="H382">
        <v>28010175</v>
      </c>
      <c r="I382" t="s">
        <v>19</v>
      </c>
      <c r="J382">
        <v>21</v>
      </c>
      <c r="K382">
        <v>62.16</v>
      </c>
    </row>
    <row r="383" spans="1:11" x14ac:dyDescent="0.3">
      <c r="A383">
        <v>2026</v>
      </c>
      <c r="B383">
        <v>1</v>
      </c>
      <c r="C383" t="s">
        <v>11</v>
      </c>
      <c r="D383" t="s">
        <v>111</v>
      </c>
      <c r="E383" t="str">
        <f>TEXT(12979968000190,"00000000000000")</f>
        <v>12979968000190</v>
      </c>
      <c r="F383" t="s">
        <v>273</v>
      </c>
      <c r="G383" t="s">
        <v>14</v>
      </c>
      <c r="H383">
        <v>28010256</v>
      </c>
      <c r="I383" t="s">
        <v>76</v>
      </c>
      <c r="J383">
        <v>5</v>
      </c>
      <c r="K383">
        <v>19.2</v>
      </c>
    </row>
    <row r="384" spans="1:11" x14ac:dyDescent="0.3">
      <c r="A384">
        <v>2026</v>
      </c>
      <c r="B384">
        <v>1</v>
      </c>
      <c r="C384" t="s">
        <v>11</v>
      </c>
      <c r="D384" t="s">
        <v>111</v>
      </c>
      <c r="E384" t="str">
        <f>TEXT(12979968000190,"00000000000000")</f>
        <v>12979968000190</v>
      </c>
      <c r="F384" t="s">
        <v>273</v>
      </c>
      <c r="G384" t="s">
        <v>14</v>
      </c>
      <c r="H384">
        <v>28010299</v>
      </c>
      <c r="I384" t="s">
        <v>20</v>
      </c>
      <c r="J384">
        <v>12</v>
      </c>
      <c r="K384">
        <v>51.36</v>
      </c>
    </row>
    <row r="385" spans="1:11" x14ac:dyDescent="0.3">
      <c r="A385">
        <v>2026</v>
      </c>
      <c r="B385">
        <v>1</v>
      </c>
      <c r="C385" t="s">
        <v>11</v>
      </c>
      <c r="D385" t="s">
        <v>111</v>
      </c>
      <c r="E385" t="str">
        <f>TEXT(12979968000190,"00000000000000")</f>
        <v>12979968000190</v>
      </c>
      <c r="F385" t="s">
        <v>273</v>
      </c>
      <c r="G385" t="s">
        <v>14</v>
      </c>
      <c r="H385">
        <v>28010329</v>
      </c>
      <c r="I385" t="s">
        <v>21</v>
      </c>
      <c r="J385">
        <v>12</v>
      </c>
      <c r="K385">
        <v>35.520000000000003</v>
      </c>
    </row>
    <row r="386" spans="1:11" x14ac:dyDescent="0.3">
      <c r="A386">
        <v>2026</v>
      </c>
      <c r="B386">
        <v>1</v>
      </c>
      <c r="C386" t="s">
        <v>11</v>
      </c>
      <c r="D386" t="s">
        <v>111</v>
      </c>
      <c r="E386" t="str">
        <f>TEXT(12979968000190,"00000000000000")</f>
        <v>12979968000190</v>
      </c>
      <c r="F386" t="s">
        <v>273</v>
      </c>
      <c r="G386" t="s">
        <v>14</v>
      </c>
      <c r="H386">
        <v>28010337</v>
      </c>
      <c r="I386" t="s">
        <v>113</v>
      </c>
      <c r="J386">
        <v>5</v>
      </c>
      <c r="K386">
        <v>36.6</v>
      </c>
    </row>
    <row r="387" spans="1:11" x14ac:dyDescent="0.3">
      <c r="A387">
        <v>2026</v>
      </c>
      <c r="B387">
        <v>1</v>
      </c>
      <c r="C387" t="s">
        <v>11</v>
      </c>
      <c r="D387" t="s">
        <v>111</v>
      </c>
      <c r="E387" t="str">
        <f>TEXT(12979968000190,"00000000000000")</f>
        <v>12979968000190</v>
      </c>
      <c r="F387" t="s">
        <v>273</v>
      </c>
      <c r="G387" t="s">
        <v>14</v>
      </c>
      <c r="H387">
        <v>28010469</v>
      </c>
      <c r="I387" t="s">
        <v>22</v>
      </c>
      <c r="J387">
        <v>3</v>
      </c>
      <c r="K387">
        <v>9</v>
      </c>
    </row>
    <row r="388" spans="1:11" x14ac:dyDescent="0.3">
      <c r="A388">
        <v>2026</v>
      </c>
      <c r="B388">
        <v>1</v>
      </c>
      <c r="C388" t="s">
        <v>11</v>
      </c>
      <c r="D388" t="s">
        <v>111</v>
      </c>
      <c r="E388" t="str">
        <f>TEXT(12979968000190,"00000000000000")</f>
        <v>12979968000190</v>
      </c>
      <c r="F388" t="s">
        <v>273</v>
      </c>
      <c r="G388" t="s">
        <v>14</v>
      </c>
      <c r="H388">
        <v>28010540</v>
      </c>
      <c r="I388" t="s">
        <v>23</v>
      </c>
      <c r="J388">
        <v>53</v>
      </c>
      <c r="K388">
        <v>159</v>
      </c>
    </row>
    <row r="389" spans="1:11" x14ac:dyDescent="0.3">
      <c r="A389">
        <v>2026</v>
      </c>
      <c r="B389">
        <v>1</v>
      </c>
      <c r="C389" t="s">
        <v>11</v>
      </c>
      <c r="D389" t="s">
        <v>111</v>
      </c>
      <c r="E389" t="str">
        <f>TEXT(12979968000190,"00000000000000")</f>
        <v>12979968000190</v>
      </c>
      <c r="F389" t="s">
        <v>273</v>
      </c>
      <c r="G389" t="s">
        <v>14</v>
      </c>
      <c r="H389">
        <v>28010558</v>
      </c>
      <c r="I389" t="s">
        <v>274</v>
      </c>
      <c r="J389">
        <v>3</v>
      </c>
      <c r="K389">
        <v>25.44</v>
      </c>
    </row>
    <row r="390" spans="1:11" x14ac:dyDescent="0.3">
      <c r="A390">
        <v>2026</v>
      </c>
      <c r="B390">
        <v>1</v>
      </c>
      <c r="C390" t="s">
        <v>11</v>
      </c>
      <c r="D390" t="s">
        <v>111</v>
      </c>
      <c r="E390" t="str">
        <f>TEXT(12979968000190,"00000000000000")</f>
        <v>12979968000190</v>
      </c>
      <c r="F390" t="s">
        <v>273</v>
      </c>
      <c r="G390" t="s">
        <v>14</v>
      </c>
      <c r="H390">
        <v>28010566</v>
      </c>
      <c r="I390" t="s">
        <v>275</v>
      </c>
      <c r="J390">
        <v>1</v>
      </c>
      <c r="K390">
        <v>16</v>
      </c>
    </row>
    <row r="391" spans="1:11" x14ac:dyDescent="0.3">
      <c r="A391">
        <v>2026</v>
      </c>
      <c r="B391">
        <v>1</v>
      </c>
      <c r="C391" t="s">
        <v>11</v>
      </c>
      <c r="D391" t="s">
        <v>111</v>
      </c>
      <c r="E391" t="str">
        <f>TEXT(12979968000190,"00000000000000")</f>
        <v>12979968000190</v>
      </c>
      <c r="F391" t="s">
        <v>273</v>
      </c>
      <c r="G391" t="s">
        <v>14</v>
      </c>
      <c r="H391">
        <v>28010655</v>
      </c>
      <c r="I391" t="s">
        <v>78</v>
      </c>
      <c r="J391">
        <v>1</v>
      </c>
      <c r="K391">
        <v>6.4</v>
      </c>
    </row>
    <row r="392" spans="1:11" x14ac:dyDescent="0.3">
      <c r="A392">
        <v>2026</v>
      </c>
      <c r="B392">
        <v>1</v>
      </c>
      <c r="C392" t="s">
        <v>11</v>
      </c>
      <c r="D392" t="s">
        <v>111</v>
      </c>
      <c r="E392" t="str">
        <f>TEXT(12979968000190,"00000000000000")</f>
        <v>12979968000190</v>
      </c>
      <c r="F392" t="s">
        <v>273</v>
      </c>
      <c r="G392" t="s">
        <v>14</v>
      </c>
      <c r="H392">
        <v>28010736</v>
      </c>
      <c r="I392" t="s">
        <v>276</v>
      </c>
      <c r="J392">
        <v>2</v>
      </c>
      <c r="K392">
        <v>16.96</v>
      </c>
    </row>
    <row r="393" spans="1:11" x14ac:dyDescent="0.3">
      <c r="A393">
        <v>2026</v>
      </c>
      <c r="B393">
        <v>1</v>
      </c>
      <c r="C393" t="s">
        <v>11</v>
      </c>
      <c r="D393" t="s">
        <v>111</v>
      </c>
      <c r="E393" t="str">
        <f>TEXT(12979968000190,"00000000000000")</f>
        <v>12979968000190</v>
      </c>
      <c r="F393" t="s">
        <v>273</v>
      </c>
      <c r="G393" t="s">
        <v>14</v>
      </c>
      <c r="H393">
        <v>28010795</v>
      </c>
      <c r="I393" t="s">
        <v>24</v>
      </c>
      <c r="J393">
        <v>26</v>
      </c>
      <c r="K393">
        <v>719.68</v>
      </c>
    </row>
    <row r="394" spans="1:11" x14ac:dyDescent="0.3">
      <c r="A394">
        <v>2026</v>
      </c>
      <c r="B394">
        <v>1</v>
      </c>
      <c r="C394" t="s">
        <v>11</v>
      </c>
      <c r="D394" t="s">
        <v>111</v>
      </c>
      <c r="E394" t="str">
        <f>TEXT(12979968000190,"00000000000000")</f>
        <v>12979968000190</v>
      </c>
      <c r="F394" t="s">
        <v>273</v>
      </c>
      <c r="G394" t="s">
        <v>14</v>
      </c>
      <c r="H394">
        <v>28010809</v>
      </c>
      <c r="I394" t="s">
        <v>25</v>
      </c>
      <c r="J394">
        <v>13</v>
      </c>
      <c r="K394">
        <v>52</v>
      </c>
    </row>
    <row r="395" spans="1:11" x14ac:dyDescent="0.3">
      <c r="A395">
        <v>2026</v>
      </c>
      <c r="B395">
        <v>1</v>
      </c>
      <c r="C395" t="s">
        <v>11</v>
      </c>
      <c r="D395" t="s">
        <v>111</v>
      </c>
      <c r="E395" t="str">
        <f>TEXT(12979968000190,"00000000000000")</f>
        <v>12979968000190</v>
      </c>
      <c r="F395" t="s">
        <v>273</v>
      </c>
      <c r="G395" t="s">
        <v>14</v>
      </c>
      <c r="H395">
        <v>28010850</v>
      </c>
      <c r="I395" t="s">
        <v>26</v>
      </c>
      <c r="J395">
        <v>7</v>
      </c>
      <c r="K395">
        <v>26.88</v>
      </c>
    </row>
    <row r="396" spans="1:11" x14ac:dyDescent="0.3">
      <c r="A396">
        <v>2026</v>
      </c>
      <c r="B396">
        <v>1</v>
      </c>
      <c r="C396" t="s">
        <v>11</v>
      </c>
      <c r="D396" t="s">
        <v>111</v>
      </c>
      <c r="E396" t="str">
        <f>TEXT(12979968000190,"00000000000000")</f>
        <v>12979968000190</v>
      </c>
      <c r="F396" t="s">
        <v>273</v>
      </c>
      <c r="G396" t="s">
        <v>14</v>
      </c>
      <c r="H396">
        <v>28010892</v>
      </c>
      <c r="I396" t="s">
        <v>27</v>
      </c>
      <c r="J396">
        <v>4</v>
      </c>
      <c r="K396">
        <v>12</v>
      </c>
    </row>
    <row r="397" spans="1:11" x14ac:dyDescent="0.3">
      <c r="A397">
        <v>2026</v>
      </c>
      <c r="B397">
        <v>1</v>
      </c>
      <c r="C397" t="s">
        <v>11</v>
      </c>
      <c r="D397" t="s">
        <v>111</v>
      </c>
      <c r="E397" t="str">
        <f>TEXT(12979968000190,"00000000000000")</f>
        <v>12979968000190</v>
      </c>
      <c r="F397" t="s">
        <v>273</v>
      </c>
      <c r="G397" t="s">
        <v>14</v>
      </c>
      <c r="H397">
        <v>28010957</v>
      </c>
      <c r="I397" t="s">
        <v>28</v>
      </c>
      <c r="J397">
        <v>14</v>
      </c>
      <c r="K397">
        <v>59.36</v>
      </c>
    </row>
    <row r="398" spans="1:11" x14ac:dyDescent="0.3">
      <c r="A398">
        <v>2026</v>
      </c>
      <c r="B398">
        <v>1</v>
      </c>
      <c r="C398" t="s">
        <v>11</v>
      </c>
      <c r="D398" t="s">
        <v>111</v>
      </c>
      <c r="E398" t="str">
        <f>TEXT(12979968000190,"00000000000000")</f>
        <v>12979968000190</v>
      </c>
      <c r="F398" t="s">
        <v>273</v>
      </c>
      <c r="G398" t="s">
        <v>14</v>
      </c>
      <c r="H398">
        <v>28010973</v>
      </c>
      <c r="I398" t="s">
        <v>29</v>
      </c>
      <c r="J398">
        <v>35</v>
      </c>
      <c r="K398">
        <v>105</v>
      </c>
    </row>
    <row r="399" spans="1:11" x14ac:dyDescent="0.3">
      <c r="A399">
        <v>2026</v>
      </c>
      <c r="B399">
        <v>1</v>
      </c>
      <c r="C399" t="s">
        <v>11</v>
      </c>
      <c r="D399" t="s">
        <v>111</v>
      </c>
      <c r="E399" t="str">
        <f>TEXT(12979968000190,"00000000000000")</f>
        <v>12979968000190</v>
      </c>
      <c r="F399" t="s">
        <v>273</v>
      </c>
      <c r="G399" t="s">
        <v>14</v>
      </c>
      <c r="H399">
        <v>28011023</v>
      </c>
      <c r="I399" t="s">
        <v>30</v>
      </c>
      <c r="J399">
        <v>30</v>
      </c>
      <c r="K399">
        <v>360</v>
      </c>
    </row>
    <row r="400" spans="1:11" x14ac:dyDescent="0.3">
      <c r="A400">
        <v>2026</v>
      </c>
      <c r="B400">
        <v>1</v>
      </c>
      <c r="C400" t="s">
        <v>11</v>
      </c>
      <c r="D400" t="s">
        <v>111</v>
      </c>
      <c r="E400" t="str">
        <f>TEXT(12979968000190,"00000000000000")</f>
        <v>12979968000190</v>
      </c>
      <c r="F400" t="s">
        <v>273</v>
      </c>
      <c r="G400" t="s">
        <v>14</v>
      </c>
      <c r="H400">
        <v>28011082</v>
      </c>
      <c r="I400" t="s">
        <v>79</v>
      </c>
      <c r="J400">
        <v>6</v>
      </c>
      <c r="K400">
        <v>25.92</v>
      </c>
    </row>
    <row r="401" spans="1:11" x14ac:dyDescent="0.3">
      <c r="A401">
        <v>2026</v>
      </c>
      <c r="B401">
        <v>1</v>
      </c>
      <c r="C401" t="s">
        <v>11</v>
      </c>
      <c r="D401" t="s">
        <v>111</v>
      </c>
      <c r="E401" t="str">
        <f>TEXT(12979968000190,"00000000000000")</f>
        <v>12979968000190</v>
      </c>
      <c r="F401" t="s">
        <v>273</v>
      </c>
      <c r="G401" t="s">
        <v>14</v>
      </c>
      <c r="H401">
        <v>28011104</v>
      </c>
      <c r="I401" t="s">
        <v>31</v>
      </c>
      <c r="J401">
        <v>30</v>
      </c>
      <c r="K401">
        <v>534</v>
      </c>
    </row>
    <row r="402" spans="1:11" x14ac:dyDescent="0.3">
      <c r="A402">
        <v>2026</v>
      </c>
      <c r="B402">
        <v>1</v>
      </c>
      <c r="C402" t="s">
        <v>11</v>
      </c>
      <c r="D402" t="s">
        <v>111</v>
      </c>
      <c r="E402" t="str">
        <f>TEXT(12979968000190,"00000000000000")</f>
        <v>12979968000190</v>
      </c>
      <c r="F402" t="s">
        <v>273</v>
      </c>
      <c r="G402" t="s">
        <v>14</v>
      </c>
      <c r="H402">
        <v>28011120</v>
      </c>
      <c r="I402" t="s">
        <v>32</v>
      </c>
      <c r="J402">
        <v>4</v>
      </c>
      <c r="K402">
        <v>13.6</v>
      </c>
    </row>
    <row r="403" spans="1:11" x14ac:dyDescent="0.3">
      <c r="A403">
        <v>2026</v>
      </c>
      <c r="B403">
        <v>1</v>
      </c>
      <c r="C403" t="s">
        <v>11</v>
      </c>
      <c r="D403" t="s">
        <v>111</v>
      </c>
      <c r="E403" t="str">
        <f>TEXT(12979968000190,"00000000000000")</f>
        <v>12979968000190</v>
      </c>
      <c r="F403" t="s">
        <v>273</v>
      </c>
      <c r="G403" t="s">
        <v>14</v>
      </c>
      <c r="H403">
        <v>28011210</v>
      </c>
      <c r="I403" t="s">
        <v>34</v>
      </c>
      <c r="J403">
        <v>37</v>
      </c>
      <c r="K403">
        <v>109.52</v>
      </c>
    </row>
    <row r="404" spans="1:11" x14ac:dyDescent="0.3">
      <c r="A404">
        <v>2026</v>
      </c>
      <c r="B404">
        <v>1</v>
      </c>
      <c r="C404" t="s">
        <v>11</v>
      </c>
      <c r="D404" t="s">
        <v>111</v>
      </c>
      <c r="E404" t="str">
        <f>TEXT(12979968000190,"00000000000000")</f>
        <v>12979968000190</v>
      </c>
      <c r="F404" t="s">
        <v>273</v>
      </c>
      <c r="G404" t="s">
        <v>14</v>
      </c>
      <c r="H404">
        <v>28011244</v>
      </c>
      <c r="I404" t="s">
        <v>98</v>
      </c>
      <c r="J404">
        <v>1</v>
      </c>
      <c r="K404">
        <v>6</v>
      </c>
    </row>
    <row r="405" spans="1:11" x14ac:dyDescent="0.3">
      <c r="A405">
        <v>2026</v>
      </c>
      <c r="B405">
        <v>1</v>
      </c>
      <c r="C405" t="s">
        <v>11</v>
      </c>
      <c r="D405" t="s">
        <v>111</v>
      </c>
      <c r="E405" t="str">
        <f>TEXT(12979968000190,"00000000000000")</f>
        <v>12979968000190</v>
      </c>
      <c r="F405" t="s">
        <v>273</v>
      </c>
      <c r="G405" t="s">
        <v>14</v>
      </c>
      <c r="H405">
        <v>28011279</v>
      </c>
      <c r="I405" t="s">
        <v>36</v>
      </c>
      <c r="J405">
        <v>36</v>
      </c>
      <c r="K405">
        <v>106.56</v>
      </c>
    </row>
    <row r="406" spans="1:11" x14ac:dyDescent="0.3">
      <c r="A406">
        <v>2026</v>
      </c>
      <c r="B406">
        <v>1</v>
      </c>
      <c r="C406" t="s">
        <v>11</v>
      </c>
      <c r="D406" t="s">
        <v>111</v>
      </c>
      <c r="E406" t="str">
        <f>TEXT(12979968000190,"00000000000000")</f>
        <v>12979968000190</v>
      </c>
      <c r="F406" t="s">
        <v>273</v>
      </c>
      <c r="G406" t="s">
        <v>14</v>
      </c>
      <c r="H406">
        <v>28011368</v>
      </c>
      <c r="I406" t="s">
        <v>37</v>
      </c>
      <c r="J406">
        <v>39</v>
      </c>
      <c r="K406">
        <v>117</v>
      </c>
    </row>
    <row r="407" spans="1:11" x14ac:dyDescent="0.3">
      <c r="A407">
        <v>2026</v>
      </c>
      <c r="B407">
        <v>1</v>
      </c>
      <c r="C407" t="s">
        <v>11</v>
      </c>
      <c r="D407" t="s">
        <v>111</v>
      </c>
      <c r="E407" t="str">
        <f>TEXT(12979968000190,"00000000000000")</f>
        <v>12979968000190</v>
      </c>
      <c r="F407" t="s">
        <v>273</v>
      </c>
      <c r="G407" t="s">
        <v>14</v>
      </c>
      <c r="H407">
        <v>28011376</v>
      </c>
      <c r="I407" t="s">
        <v>38</v>
      </c>
      <c r="J407">
        <v>39</v>
      </c>
      <c r="K407">
        <v>117</v>
      </c>
    </row>
    <row r="408" spans="1:11" x14ac:dyDescent="0.3">
      <c r="A408">
        <v>2026</v>
      </c>
      <c r="B408">
        <v>1</v>
      </c>
      <c r="C408" t="s">
        <v>11</v>
      </c>
      <c r="D408" t="s">
        <v>111</v>
      </c>
      <c r="E408" t="str">
        <f>TEXT(12979968000190,"00000000000000")</f>
        <v>12979968000190</v>
      </c>
      <c r="F408" t="s">
        <v>273</v>
      </c>
      <c r="G408" t="s">
        <v>14</v>
      </c>
      <c r="H408">
        <v>28011384</v>
      </c>
      <c r="I408" t="s">
        <v>99</v>
      </c>
      <c r="J408">
        <v>4</v>
      </c>
      <c r="K408">
        <v>51.2</v>
      </c>
    </row>
    <row r="409" spans="1:11" x14ac:dyDescent="0.3">
      <c r="A409">
        <v>2026</v>
      </c>
      <c r="B409">
        <v>1</v>
      </c>
      <c r="C409" t="s">
        <v>11</v>
      </c>
      <c r="D409" t="s">
        <v>111</v>
      </c>
      <c r="E409" t="str">
        <f>TEXT(12979968000190,"00000000000000")</f>
        <v>12979968000190</v>
      </c>
      <c r="F409" t="s">
        <v>273</v>
      </c>
      <c r="G409" t="s">
        <v>14</v>
      </c>
      <c r="H409">
        <v>28011414</v>
      </c>
      <c r="I409" t="s">
        <v>39</v>
      </c>
      <c r="J409">
        <v>50</v>
      </c>
      <c r="K409">
        <v>150</v>
      </c>
    </row>
    <row r="410" spans="1:11" x14ac:dyDescent="0.3">
      <c r="A410">
        <v>2026</v>
      </c>
      <c r="B410">
        <v>1</v>
      </c>
      <c r="C410" t="s">
        <v>11</v>
      </c>
      <c r="D410" t="s">
        <v>111</v>
      </c>
      <c r="E410" t="str">
        <f>TEXT(12979968000190,"00000000000000")</f>
        <v>12979968000190</v>
      </c>
      <c r="F410" t="s">
        <v>273</v>
      </c>
      <c r="G410" t="s">
        <v>14</v>
      </c>
      <c r="H410">
        <v>28011449</v>
      </c>
      <c r="I410" t="s">
        <v>40</v>
      </c>
      <c r="J410">
        <v>34</v>
      </c>
      <c r="K410">
        <v>652.79999999999995</v>
      </c>
    </row>
    <row r="411" spans="1:11" x14ac:dyDescent="0.3">
      <c r="A411">
        <v>2026</v>
      </c>
      <c r="B411">
        <v>1</v>
      </c>
      <c r="C411" t="s">
        <v>11</v>
      </c>
      <c r="D411" t="s">
        <v>111</v>
      </c>
      <c r="E411" t="str">
        <f>TEXT(12979968000190,"00000000000000")</f>
        <v>12979968000190</v>
      </c>
      <c r="F411" t="s">
        <v>273</v>
      </c>
      <c r="G411" t="s">
        <v>14</v>
      </c>
      <c r="H411">
        <v>28011562</v>
      </c>
      <c r="I411" t="s">
        <v>277</v>
      </c>
      <c r="J411">
        <v>1</v>
      </c>
      <c r="K411">
        <v>6</v>
      </c>
    </row>
    <row r="412" spans="1:11" x14ac:dyDescent="0.3">
      <c r="A412">
        <v>2026</v>
      </c>
      <c r="B412">
        <v>1</v>
      </c>
      <c r="C412" t="s">
        <v>11</v>
      </c>
      <c r="D412" t="s">
        <v>111</v>
      </c>
      <c r="E412" t="str">
        <f>TEXT(12979968000190,"00000000000000")</f>
        <v>12979968000190</v>
      </c>
      <c r="F412" t="s">
        <v>273</v>
      </c>
      <c r="G412" t="s">
        <v>14</v>
      </c>
      <c r="H412">
        <v>28011678</v>
      </c>
      <c r="I412" t="s">
        <v>278</v>
      </c>
      <c r="J412">
        <v>1</v>
      </c>
      <c r="K412">
        <v>17.2</v>
      </c>
    </row>
    <row r="413" spans="1:11" x14ac:dyDescent="0.3">
      <c r="A413">
        <v>2026</v>
      </c>
      <c r="B413">
        <v>1</v>
      </c>
      <c r="C413" t="s">
        <v>11</v>
      </c>
      <c r="D413" t="s">
        <v>111</v>
      </c>
      <c r="E413" t="str">
        <f>TEXT(12979968000190,"00000000000000")</f>
        <v>12979968000190</v>
      </c>
      <c r="F413" t="s">
        <v>273</v>
      </c>
      <c r="G413" t="s">
        <v>14</v>
      </c>
      <c r="H413">
        <v>28011791</v>
      </c>
      <c r="I413" t="s">
        <v>279</v>
      </c>
      <c r="J413">
        <v>5</v>
      </c>
      <c r="K413">
        <v>100</v>
      </c>
    </row>
    <row r="414" spans="1:11" x14ac:dyDescent="0.3">
      <c r="A414">
        <v>2026</v>
      </c>
      <c r="B414">
        <v>1</v>
      </c>
      <c r="C414" t="s">
        <v>11</v>
      </c>
      <c r="D414" t="s">
        <v>111</v>
      </c>
      <c r="E414" t="str">
        <f>TEXT(12979968000190,"00000000000000")</f>
        <v>12979968000190</v>
      </c>
      <c r="F414" t="s">
        <v>273</v>
      </c>
      <c r="G414" t="s">
        <v>14</v>
      </c>
      <c r="H414">
        <v>28030141</v>
      </c>
      <c r="I414" t="s">
        <v>41</v>
      </c>
      <c r="J414">
        <v>4</v>
      </c>
      <c r="K414">
        <v>17.12</v>
      </c>
    </row>
    <row r="415" spans="1:11" x14ac:dyDescent="0.3">
      <c r="A415">
        <v>2026</v>
      </c>
      <c r="B415">
        <v>1</v>
      </c>
      <c r="C415" t="s">
        <v>11</v>
      </c>
      <c r="D415" t="s">
        <v>111</v>
      </c>
      <c r="E415" t="str">
        <f>TEXT(12979968000190,"00000000000000")</f>
        <v>12979968000190</v>
      </c>
      <c r="F415" t="s">
        <v>273</v>
      </c>
      <c r="G415" t="s">
        <v>14</v>
      </c>
      <c r="H415">
        <v>28030176</v>
      </c>
      <c r="I415" t="s">
        <v>114</v>
      </c>
      <c r="J415">
        <v>6</v>
      </c>
      <c r="K415">
        <v>19.2</v>
      </c>
    </row>
    <row r="416" spans="1:11" x14ac:dyDescent="0.3">
      <c r="A416">
        <v>2026</v>
      </c>
      <c r="B416">
        <v>1</v>
      </c>
      <c r="C416" t="s">
        <v>11</v>
      </c>
      <c r="D416" t="s">
        <v>111</v>
      </c>
      <c r="E416" t="str">
        <f>TEXT(12979968000190,"00000000000000")</f>
        <v>12979968000190</v>
      </c>
      <c r="F416" t="s">
        <v>273</v>
      </c>
      <c r="G416" t="s">
        <v>14</v>
      </c>
      <c r="H416">
        <v>28040139</v>
      </c>
      <c r="I416" t="s">
        <v>82</v>
      </c>
      <c r="J416">
        <v>5</v>
      </c>
      <c r="K416">
        <v>72</v>
      </c>
    </row>
    <row r="417" spans="1:11" x14ac:dyDescent="0.3">
      <c r="A417">
        <v>2026</v>
      </c>
      <c r="B417">
        <v>1</v>
      </c>
      <c r="C417" t="s">
        <v>11</v>
      </c>
      <c r="D417" t="s">
        <v>111</v>
      </c>
      <c r="E417" t="str">
        <f>TEXT(12979968000190,"00000000000000")</f>
        <v>12979968000190</v>
      </c>
      <c r="F417" t="s">
        <v>273</v>
      </c>
      <c r="G417" t="s">
        <v>14</v>
      </c>
      <c r="H417">
        <v>28040333</v>
      </c>
      <c r="I417" t="s">
        <v>280</v>
      </c>
      <c r="J417">
        <v>3</v>
      </c>
      <c r="K417">
        <v>12.84</v>
      </c>
    </row>
    <row r="418" spans="1:11" x14ac:dyDescent="0.3">
      <c r="A418">
        <v>2026</v>
      </c>
      <c r="B418">
        <v>1</v>
      </c>
      <c r="C418" t="s">
        <v>11</v>
      </c>
      <c r="D418" t="s">
        <v>111</v>
      </c>
      <c r="E418" t="str">
        <f>TEXT(12979968000190,"00000000000000")</f>
        <v>12979968000190</v>
      </c>
      <c r="F418" t="s">
        <v>273</v>
      </c>
      <c r="G418" t="s">
        <v>14</v>
      </c>
      <c r="H418">
        <v>28040481</v>
      </c>
      <c r="I418" t="s">
        <v>42</v>
      </c>
      <c r="J418">
        <v>63</v>
      </c>
      <c r="K418">
        <v>403.2</v>
      </c>
    </row>
    <row r="419" spans="1:11" x14ac:dyDescent="0.3">
      <c r="A419">
        <v>2026</v>
      </c>
      <c r="B419">
        <v>1</v>
      </c>
      <c r="C419" t="s">
        <v>11</v>
      </c>
      <c r="D419" t="s">
        <v>111</v>
      </c>
      <c r="E419" t="str">
        <f>TEXT(12979968000190,"00000000000000")</f>
        <v>12979968000190</v>
      </c>
      <c r="F419" t="s">
        <v>273</v>
      </c>
      <c r="G419" t="s">
        <v>14</v>
      </c>
      <c r="H419">
        <v>28040694</v>
      </c>
      <c r="I419" t="s">
        <v>84</v>
      </c>
      <c r="J419">
        <v>2</v>
      </c>
      <c r="K419">
        <v>4.24</v>
      </c>
    </row>
    <row r="420" spans="1:11" x14ac:dyDescent="0.3">
      <c r="A420">
        <v>2026</v>
      </c>
      <c r="B420">
        <v>1</v>
      </c>
      <c r="C420" t="s">
        <v>11</v>
      </c>
      <c r="D420" t="s">
        <v>111</v>
      </c>
      <c r="E420" t="str">
        <f>TEXT(12979968000190,"00000000000000")</f>
        <v>12979968000190</v>
      </c>
      <c r="F420" t="s">
        <v>273</v>
      </c>
      <c r="G420" t="s">
        <v>14</v>
      </c>
      <c r="H420">
        <v>28040732</v>
      </c>
      <c r="I420" t="s">
        <v>100</v>
      </c>
      <c r="J420">
        <v>3</v>
      </c>
      <c r="K420">
        <v>11.52</v>
      </c>
    </row>
    <row r="421" spans="1:11" x14ac:dyDescent="0.3">
      <c r="A421">
        <v>2026</v>
      </c>
      <c r="B421">
        <v>1</v>
      </c>
      <c r="C421" t="s">
        <v>11</v>
      </c>
      <c r="D421" t="s">
        <v>111</v>
      </c>
      <c r="E421" t="str">
        <f>TEXT(12979968000190,"00000000000000")</f>
        <v>12979968000190</v>
      </c>
      <c r="F421" t="s">
        <v>273</v>
      </c>
      <c r="G421" t="s">
        <v>14</v>
      </c>
      <c r="H421">
        <v>28040767</v>
      </c>
      <c r="I421" t="s">
        <v>116</v>
      </c>
      <c r="J421">
        <v>2</v>
      </c>
      <c r="K421">
        <v>4.24</v>
      </c>
    </row>
    <row r="422" spans="1:11" x14ac:dyDescent="0.3">
      <c r="A422">
        <v>2026</v>
      </c>
      <c r="B422">
        <v>1</v>
      </c>
      <c r="C422" t="s">
        <v>11</v>
      </c>
      <c r="D422" t="s">
        <v>111</v>
      </c>
      <c r="E422" t="str">
        <f>TEXT(12979968000190,"00000000000000")</f>
        <v>12979968000190</v>
      </c>
      <c r="F422" t="s">
        <v>273</v>
      </c>
      <c r="G422" t="s">
        <v>14</v>
      </c>
      <c r="H422">
        <v>28040791</v>
      </c>
      <c r="I422" t="s">
        <v>85</v>
      </c>
      <c r="J422">
        <v>2</v>
      </c>
      <c r="K422">
        <v>7.68</v>
      </c>
    </row>
    <row r="423" spans="1:11" x14ac:dyDescent="0.3">
      <c r="A423">
        <v>2026</v>
      </c>
      <c r="B423">
        <v>1</v>
      </c>
      <c r="C423" t="s">
        <v>11</v>
      </c>
      <c r="D423" t="s">
        <v>111</v>
      </c>
      <c r="E423" t="str">
        <f>TEXT(12979968000190,"00000000000000")</f>
        <v>12979968000190</v>
      </c>
      <c r="F423" t="s">
        <v>273</v>
      </c>
      <c r="G423" t="s">
        <v>14</v>
      </c>
      <c r="H423">
        <v>28050142</v>
      </c>
      <c r="I423" t="s">
        <v>44</v>
      </c>
      <c r="J423">
        <v>2</v>
      </c>
      <c r="K423">
        <v>34.24</v>
      </c>
    </row>
    <row r="424" spans="1:11" x14ac:dyDescent="0.3">
      <c r="A424">
        <v>2026</v>
      </c>
      <c r="B424">
        <v>1</v>
      </c>
      <c r="C424" t="s">
        <v>11</v>
      </c>
      <c r="D424" t="s">
        <v>111</v>
      </c>
      <c r="E424" t="str">
        <f>TEXT(12979968000190,"00000000000000")</f>
        <v>12979968000190</v>
      </c>
      <c r="F424" t="s">
        <v>273</v>
      </c>
      <c r="G424" t="s">
        <v>14</v>
      </c>
      <c r="H424">
        <v>28050223</v>
      </c>
      <c r="I424" t="s">
        <v>101</v>
      </c>
      <c r="J424">
        <v>4</v>
      </c>
      <c r="K424">
        <v>97.6</v>
      </c>
    </row>
    <row r="425" spans="1:11" x14ac:dyDescent="0.3">
      <c r="A425">
        <v>2026</v>
      </c>
      <c r="B425">
        <v>1</v>
      </c>
      <c r="C425" t="s">
        <v>11</v>
      </c>
      <c r="D425" t="s">
        <v>111</v>
      </c>
      <c r="E425" t="str">
        <f>TEXT(12979968000190,"00000000000000")</f>
        <v>12979968000190</v>
      </c>
      <c r="F425" t="s">
        <v>273</v>
      </c>
      <c r="G425" t="s">
        <v>14</v>
      </c>
      <c r="H425">
        <v>28050231</v>
      </c>
      <c r="I425" t="s">
        <v>102</v>
      </c>
      <c r="J425">
        <v>2</v>
      </c>
      <c r="K425">
        <v>73.44</v>
      </c>
    </row>
    <row r="426" spans="1:11" x14ac:dyDescent="0.3">
      <c r="A426">
        <v>2026</v>
      </c>
      <c r="B426">
        <v>1</v>
      </c>
      <c r="C426" t="s">
        <v>11</v>
      </c>
      <c r="D426" t="s">
        <v>111</v>
      </c>
      <c r="E426" t="str">
        <f>TEXT(12979968000190,"00000000000000")</f>
        <v>12979968000190</v>
      </c>
      <c r="F426" t="s">
        <v>273</v>
      </c>
      <c r="G426" t="s">
        <v>14</v>
      </c>
      <c r="H426">
        <v>28050240</v>
      </c>
      <c r="I426" t="s">
        <v>45</v>
      </c>
      <c r="J426">
        <v>7</v>
      </c>
      <c r="K426">
        <v>156.80000000000001</v>
      </c>
    </row>
    <row r="427" spans="1:11" x14ac:dyDescent="0.3">
      <c r="A427">
        <v>2026</v>
      </c>
      <c r="B427">
        <v>1</v>
      </c>
      <c r="C427" t="s">
        <v>11</v>
      </c>
      <c r="D427" t="s">
        <v>111</v>
      </c>
      <c r="E427" t="str">
        <f>TEXT(12979968000190,"00000000000000")</f>
        <v>12979968000190</v>
      </c>
      <c r="F427" t="s">
        <v>273</v>
      </c>
      <c r="G427" t="s">
        <v>14</v>
      </c>
      <c r="H427">
        <v>28050304</v>
      </c>
      <c r="I427" t="s">
        <v>117</v>
      </c>
      <c r="J427">
        <v>4</v>
      </c>
      <c r="K427">
        <v>90.24</v>
      </c>
    </row>
    <row r="428" spans="1:11" x14ac:dyDescent="0.3">
      <c r="A428">
        <v>2026</v>
      </c>
      <c r="B428">
        <v>1</v>
      </c>
      <c r="C428" t="s">
        <v>11</v>
      </c>
      <c r="D428" t="s">
        <v>111</v>
      </c>
      <c r="E428" t="str">
        <f>TEXT(12979968000190,"00000000000000")</f>
        <v>12979968000190</v>
      </c>
      <c r="F428" t="s">
        <v>273</v>
      </c>
      <c r="G428" t="s">
        <v>14</v>
      </c>
      <c r="H428">
        <v>28050312</v>
      </c>
      <c r="I428" t="s">
        <v>46</v>
      </c>
      <c r="J428">
        <v>10</v>
      </c>
      <c r="K428">
        <v>160</v>
      </c>
    </row>
    <row r="429" spans="1:11" x14ac:dyDescent="0.3">
      <c r="A429">
        <v>2026</v>
      </c>
      <c r="B429">
        <v>1</v>
      </c>
      <c r="C429" t="s">
        <v>11</v>
      </c>
      <c r="D429" t="s">
        <v>111</v>
      </c>
      <c r="E429" t="str">
        <f>TEXT(12979968000190,"00000000000000")</f>
        <v>12979968000190</v>
      </c>
      <c r="F429" t="s">
        <v>273</v>
      </c>
      <c r="G429" t="s">
        <v>14</v>
      </c>
      <c r="H429">
        <v>28050347</v>
      </c>
      <c r="I429" t="s">
        <v>103</v>
      </c>
      <c r="J429">
        <v>1</v>
      </c>
      <c r="K429">
        <v>13</v>
      </c>
    </row>
    <row r="430" spans="1:11" x14ac:dyDescent="0.3">
      <c r="A430">
        <v>2026</v>
      </c>
      <c r="B430">
        <v>1</v>
      </c>
      <c r="C430" t="s">
        <v>11</v>
      </c>
      <c r="D430" t="s">
        <v>111</v>
      </c>
      <c r="E430" t="str">
        <f>TEXT(12979968000190,"00000000000000")</f>
        <v>12979968000190</v>
      </c>
      <c r="F430" t="s">
        <v>273</v>
      </c>
      <c r="G430" t="s">
        <v>14</v>
      </c>
      <c r="H430">
        <v>28050355</v>
      </c>
      <c r="I430" t="s">
        <v>47</v>
      </c>
      <c r="J430">
        <v>7</v>
      </c>
      <c r="K430">
        <v>89.6</v>
      </c>
    </row>
    <row r="431" spans="1:11" x14ac:dyDescent="0.3">
      <c r="A431">
        <v>2026</v>
      </c>
      <c r="B431">
        <v>1</v>
      </c>
      <c r="C431" t="s">
        <v>11</v>
      </c>
      <c r="D431" t="s">
        <v>111</v>
      </c>
      <c r="E431" t="str">
        <f>TEXT(12979968000190,"00000000000000")</f>
        <v>12979968000190</v>
      </c>
      <c r="F431" t="s">
        <v>273</v>
      </c>
      <c r="G431" t="s">
        <v>14</v>
      </c>
      <c r="H431">
        <v>28050380</v>
      </c>
      <c r="I431" t="s">
        <v>48</v>
      </c>
      <c r="J431">
        <v>9</v>
      </c>
      <c r="K431">
        <v>144</v>
      </c>
    </row>
    <row r="432" spans="1:11" x14ac:dyDescent="0.3">
      <c r="A432">
        <v>2026</v>
      </c>
      <c r="B432">
        <v>1</v>
      </c>
      <c r="C432" t="s">
        <v>11</v>
      </c>
      <c r="D432" t="s">
        <v>111</v>
      </c>
      <c r="E432" t="str">
        <f>TEXT(12979968000190,"00000000000000")</f>
        <v>12979968000190</v>
      </c>
      <c r="F432" t="s">
        <v>273</v>
      </c>
      <c r="G432" t="s">
        <v>14</v>
      </c>
      <c r="H432">
        <v>28050410</v>
      </c>
      <c r="I432" t="s">
        <v>118</v>
      </c>
      <c r="J432">
        <v>6</v>
      </c>
      <c r="K432">
        <v>139.68</v>
      </c>
    </row>
    <row r="433" spans="1:11" x14ac:dyDescent="0.3">
      <c r="A433">
        <v>2026</v>
      </c>
      <c r="B433">
        <v>1</v>
      </c>
      <c r="C433" t="s">
        <v>11</v>
      </c>
      <c r="D433" t="s">
        <v>111</v>
      </c>
      <c r="E433" t="str">
        <f>TEXT(12979968000190,"00000000000000")</f>
        <v>12979968000190</v>
      </c>
      <c r="F433" t="s">
        <v>273</v>
      </c>
      <c r="G433" t="s">
        <v>14</v>
      </c>
      <c r="H433">
        <v>28050436</v>
      </c>
      <c r="I433" t="s">
        <v>104</v>
      </c>
      <c r="J433">
        <v>7</v>
      </c>
      <c r="K433">
        <v>156.80000000000001</v>
      </c>
    </row>
    <row r="434" spans="1:11" x14ac:dyDescent="0.3">
      <c r="A434">
        <v>2026</v>
      </c>
      <c r="B434">
        <v>1</v>
      </c>
      <c r="C434" t="s">
        <v>11</v>
      </c>
      <c r="D434" t="s">
        <v>111</v>
      </c>
      <c r="E434" t="str">
        <f>TEXT(12979968000190,"00000000000000")</f>
        <v>12979968000190</v>
      </c>
      <c r="F434" t="s">
        <v>273</v>
      </c>
      <c r="G434" t="s">
        <v>14</v>
      </c>
      <c r="H434">
        <v>28050690</v>
      </c>
      <c r="I434" t="s">
        <v>49</v>
      </c>
      <c r="J434">
        <v>10</v>
      </c>
      <c r="K434">
        <v>232</v>
      </c>
    </row>
    <row r="435" spans="1:11" x14ac:dyDescent="0.3">
      <c r="A435">
        <v>2026</v>
      </c>
      <c r="B435">
        <v>1</v>
      </c>
      <c r="C435" t="s">
        <v>11</v>
      </c>
      <c r="D435" t="s">
        <v>111</v>
      </c>
      <c r="E435" t="str">
        <f>TEXT(12979968000190,"00000000000000")</f>
        <v>12979968000190</v>
      </c>
      <c r="F435" t="s">
        <v>273</v>
      </c>
      <c r="G435" t="s">
        <v>14</v>
      </c>
      <c r="H435">
        <v>28050703</v>
      </c>
      <c r="I435" t="s">
        <v>50</v>
      </c>
      <c r="J435">
        <v>30</v>
      </c>
      <c r="K435">
        <v>576</v>
      </c>
    </row>
    <row r="436" spans="1:11" x14ac:dyDescent="0.3">
      <c r="A436">
        <v>2026</v>
      </c>
      <c r="B436">
        <v>1</v>
      </c>
      <c r="C436" t="s">
        <v>11</v>
      </c>
      <c r="D436" t="s">
        <v>111</v>
      </c>
      <c r="E436" t="str">
        <f>TEXT(12979968000190,"00000000000000")</f>
        <v>12979968000190</v>
      </c>
      <c r="F436" t="s">
        <v>273</v>
      </c>
      <c r="G436" t="s">
        <v>14</v>
      </c>
      <c r="H436">
        <v>28050720</v>
      </c>
      <c r="I436" t="s">
        <v>51</v>
      </c>
      <c r="J436">
        <v>27</v>
      </c>
      <c r="K436">
        <v>518.4</v>
      </c>
    </row>
    <row r="437" spans="1:11" x14ac:dyDescent="0.3">
      <c r="A437">
        <v>2026</v>
      </c>
      <c r="B437">
        <v>1</v>
      </c>
      <c r="C437" t="s">
        <v>11</v>
      </c>
      <c r="D437" t="s">
        <v>111</v>
      </c>
      <c r="E437" t="str">
        <f>TEXT(12979968000190,"00000000000000")</f>
        <v>12979968000190</v>
      </c>
      <c r="F437" t="s">
        <v>273</v>
      </c>
      <c r="G437" t="s">
        <v>14</v>
      </c>
      <c r="H437">
        <v>28050738</v>
      </c>
      <c r="I437" t="s">
        <v>105</v>
      </c>
      <c r="J437">
        <v>4</v>
      </c>
      <c r="K437">
        <v>59.84</v>
      </c>
    </row>
    <row r="438" spans="1:11" x14ac:dyDescent="0.3">
      <c r="A438">
        <v>2026</v>
      </c>
      <c r="B438">
        <v>1</v>
      </c>
      <c r="C438" t="s">
        <v>11</v>
      </c>
      <c r="D438" t="s">
        <v>111</v>
      </c>
      <c r="E438" t="str">
        <f>TEXT(12979968000190,"00000000000000")</f>
        <v>12979968000190</v>
      </c>
      <c r="F438" t="s">
        <v>273</v>
      </c>
      <c r="G438" t="s">
        <v>14</v>
      </c>
      <c r="H438">
        <v>28050754</v>
      </c>
      <c r="I438" t="s">
        <v>119</v>
      </c>
      <c r="J438">
        <v>8</v>
      </c>
      <c r="K438">
        <v>359.04</v>
      </c>
    </row>
    <row r="439" spans="1:11" x14ac:dyDescent="0.3">
      <c r="A439">
        <v>2026</v>
      </c>
      <c r="B439">
        <v>1</v>
      </c>
      <c r="C439" t="s">
        <v>11</v>
      </c>
      <c r="D439" t="s">
        <v>111</v>
      </c>
      <c r="E439" t="str">
        <f>TEXT(12979968000190,"00000000000000")</f>
        <v>12979968000190</v>
      </c>
      <c r="F439" t="s">
        <v>273</v>
      </c>
      <c r="G439" t="s">
        <v>14</v>
      </c>
      <c r="H439">
        <v>28050770</v>
      </c>
      <c r="I439" t="s">
        <v>53</v>
      </c>
      <c r="J439">
        <v>9</v>
      </c>
      <c r="K439">
        <v>288</v>
      </c>
    </row>
    <row r="440" spans="1:11" x14ac:dyDescent="0.3">
      <c r="A440">
        <v>2026</v>
      </c>
      <c r="B440">
        <v>1</v>
      </c>
      <c r="C440" t="s">
        <v>11</v>
      </c>
      <c r="D440" t="s">
        <v>111</v>
      </c>
      <c r="E440" t="str">
        <f>TEXT(12979968000190,"00000000000000")</f>
        <v>12979968000190</v>
      </c>
      <c r="F440" t="s">
        <v>273</v>
      </c>
      <c r="G440" t="s">
        <v>14</v>
      </c>
      <c r="H440">
        <v>28050800</v>
      </c>
      <c r="I440" t="s">
        <v>54</v>
      </c>
      <c r="J440">
        <v>4</v>
      </c>
      <c r="K440">
        <v>128</v>
      </c>
    </row>
    <row r="441" spans="1:11" x14ac:dyDescent="0.3">
      <c r="A441">
        <v>2026</v>
      </c>
      <c r="B441">
        <v>1</v>
      </c>
      <c r="C441" t="s">
        <v>11</v>
      </c>
      <c r="D441" t="s">
        <v>111</v>
      </c>
      <c r="E441" t="str">
        <f>TEXT(12979968000190,"00000000000000")</f>
        <v>12979968000190</v>
      </c>
      <c r="F441" t="s">
        <v>273</v>
      </c>
      <c r="G441" t="s">
        <v>14</v>
      </c>
      <c r="H441">
        <v>28050827</v>
      </c>
      <c r="I441" t="s">
        <v>55</v>
      </c>
      <c r="J441">
        <v>5</v>
      </c>
      <c r="K441">
        <v>90.8</v>
      </c>
    </row>
    <row r="442" spans="1:11" x14ac:dyDescent="0.3">
      <c r="A442">
        <v>2026</v>
      </c>
      <c r="B442">
        <v>1</v>
      </c>
      <c r="C442" t="s">
        <v>11</v>
      </c>
      <c r="D442" t="s">
        <v>111</v>
      </c>
      <c r="E442" t="str">
        <f>TEXT(12979968000190,"00000000000000")</f>
        <v>12979968000190</v>
      </c>
      <c r="F442" t="s">
        <v>273</v>
      </c>
      <c r="G442" t="s">
        <v>14</v>
      </c>
      <c r="H442">
        <v>28050983</v>
      </c>
      <c r="I442" t="s">
        <v>120</v>
      </c>
      <c r="J442">
        <v>5</v>
      </c>
      <c r="K442">
        <v>250</v>
      </c>
    </row>
    <row r="443" spans="1:11" x14ac:dyDescent="0.3">
      <c r="A443">
        <v>2026</v>
      </c>
      <c r="B443">
        <v>1</v>
      </c>
      <c r="C443" t="s">
        <v>11</v>
      </c>
      <c r="D443" t="s">
        <v>111</v>
      </c>
      <c r="E443" t="str">
        <f>TEXT(12979968000190,"00000000000000")</f>
        <v>12979968000190</v>
      </c>
      <c r="F443" t="s">
        <v>273</v>
      </c>
      <c r="G443" t="s">
        <v>14</v>
      </c>
      <c r="H443">
        <v>28050991</v>
      </c>
      <c r="I443" t="s">
        <v>56</v>
      </c>
      <c r="J443">
        <v>33</v>
      </c>
      <c r="K443">
        <v>993.12</v>
      </c>
    </row>
    <row r="444" spans="1:11" x14ac:dyDescent="0.3">
      <c r="A444">
        <v>2026</v>
      </c>
      <c r="B444">
        <v>1</v>
      </c>
      <c r="C444" t="s">
        <v>11</v>
      </c>
      <c r="D444" t="s">
        <v>111</v>
      </c>
      <c r="E444" t="str">
        <f>TEXT(12979968000190,"00000000000000")</f>
        <v>12979968000190</v>
      </c>
      <c r="F444" t="s">
        <v>273</v>
      </c>
      <c r="G444" t="s">
        <v>14</v>
      </c>
      <c r="H444">
        <v>28060083</v>
      </c>
      <c r="I444" t="s">
        <v>86</v>
      </c>
      <c r="J444">
        <v>1</v>
      </c>
      <c r="K444">
        <v>17.12</v>
      </c>
    </row>
    <row r="445" spans="1:11" x14ac:dyDescent="0.3">
      <c r="A445">
        <v>2026</v>
      </c>
      <c r="B445">
        <v>1</v>
      </c>
      <c r="C445" t="s">
        <v>11</v>
      </c>
      <c r="D445" t="s">
        <v>111</v>
      </c>
      <c r="E445" t="str">
        <f>TEXT(12979968000190,"00000000000000")</f>
        <v>12979968000190</v>
      </c>
      <c r="F445" t="s">
        <v>273</v>
      </c>
      <c r="G445" t="s">
        <v>14</v>
      </c>
      <c r="H445">
        <v>28060156</v>
      </c>
      <c r="I445" t="s">
        <v>57</v>
      </c>
      <c r="J445">
        <v>5</v>
      </c>
      <c r="K445">
        <v>113.2</v>
      </c>
    </row>
    <row r="446" spans="1:11" x14ac:dyDescent="0.3">
      <c r="A446">
        <v>2026</v>
      </c>
      <c r="B446">
        <v>1</v>
      </c>
      <c r="C446" t="s">
        <v>11</v>
      </c>
      <c r="D446" t="s">
        <v>111</v>
      </c>
      <c r="E446" t="str">
        <f>TEXT(12979968000190,"00000000000000")</f>
        <v>12979968000190</v>
      </c>
      <c r="F446" t="s">
        <v>273</v>
      </c>
      <c r="G446" t="s">
        <v>14</v>
      </c>
      <c r="H446">
        <v>28060164</v>
      </c>
      <c r="I446" t="s">
        <v>281</v>
      </c>
      <c r="J446">
        <v>3</v>
      </c>
      <c r="K446">
        <v>69.599999999999994</v>
      </c>
    </row>
    <row r="447" spans="1:11" x14ac:dyDescent="0.3">
      <c r="A447">
        <v>2026</v>
      </c>
      <c r="B447">
        <v>1</v>
      </c>
      <c r="C447" t="s">
        <v>11</v>
      </c>
      <c r="D447" t="s">
        <v>111</v>
      </c>
      <c r="E447" t="str">
        <f>TEXT(12979968000190,"00000000000000")</f>
        <v>12979968000190</v>
      </c>
      <c r="F447" t="s">
        <v>273</v>
      </c>
      <c r="G447" t="s">
        <v>14</v>
      </c>
      <c r="H447">
        <v>28060180</v>
      </c>
      <c r="I447" t="s">
        <v>107</v>
      </c>
      <c r="J447">
        <v>1</v>
      </c>
      <c r="K447">
        <v>15.12</v>
      </c>
    </row>
    <row r="448" spans="1:11" x14ac:dyDescent="0.3">
      <c r="A448">
        <v>2026</v>
      </c>
      <c r="B448">
        <v>1</v>
      </c>
      <c r="C448" t="s">
        <v>11</v>
      </c>
      <c r="D448" t="s">
        <v>111</v>
      </c>
      <c r="E448" t="str">
        <f>TEXT(12979968000190,"00000000000000")</f>
        <v>12979968000190</v>
      </c>
      <c r="F448" t="s">
        <v>273</v>
      </c>
      <c r="G448" t="s">
        <v>14</v>
      </c>
      <c r="H448">
        <v>28060210</v>
      </c>
      <c r="I448" t="s">
        <v>58</v>
      </c>
      <c r="J448">
        <v>3</v>
      </c>
      <c r="K448">
        <v>45.6</v>
      </c>
    </row>
    <row r="449" spans="1:11" x14ac:dyDescent="0.3">
      <c r="A449">
        <v>2026</v>
      </c>
      <c r="B449">
        <v>1</v>
      </c>
      <c r="C449" t="s">
        <v>11</v>
      </c>
      <c r="D449" t="s">
        <v>111</v>
      </c>
      <c r="E449" t="str">
        <f>TEXT(12979968000190,"00000000000000")</f>
        <v>12979968000190</v>
      </c>
      <c r="F449" t="s">
        <v>273</v>
      </c>
      <c r="G449" t="s">
        <v>14</v>
      </c>
      <c r="H449">
        <v>28060229</v>
      </c>
      <c r="I449" t="s">
        <v>89</v>
      </c>
      <c r="J449">
        <v>3</v>
      </c>
      <c r="K449">
        <v>120</v>
      </c>
    </row>
    <row r="450" spans="1:11" x14ac:dyDescent="0.3">
      <c r="A450">
        <v>2026</v>
      </c>
      <c r="B450">
        <v>1</v>
      </c>
      <c r="C450" t="s">
        <v>11</v>
      </c>
      <c r="D450" t="s">
        <v>111</v>
      </c>
      <c r="E450" t="str">
        <f>TEXT(12979968000190,"00000000000000")</f>
        <v>12979968000190</v>
      </c>
      <c r="F450" t="s">
        <v>273</v>
      </c>
      <c r="G450" t="s">
        <v>14</v>
      </c>
      <c r="H450">
        <v>28060504</v>
      </c>
      <c r="I450" t="s">
        <v>59</v>
      </c>
      <c r="J450">
        <v>1</v>
      </c>
      <c r="K450">
        <v>5.4</v>
      </c>
    </row>
    <row r="451" spans="1:11" x14ac:dyDescent="0.3">
      <c r="A451">
        <v>2026</v>
      </c>
      <c r="B451">
        <v>1</v>
      </c>
      <c r="C451" t="s">
        <v>11</v>
      </c>
      <c r="D451" t="s">
        <v>111</v>
      </c>
      <c r="E451" t="str">
        <f>TEXT(12979968000190,"00000000000000")</f>
        <v>12979968000190</v>
      </c>
      <c r="F451" t="s">
        <v>273</v>
      </c>
      <c r="G451" t="s">
        <v>14</v>
      </c>
      <c r="H451">
        <v>28060865</v>
      </c>
      <c r="I451" t="s">
        <v>108</v>
      </c>
      <c r="J451">
        <v>1</v>
      </c>
      <c r="K451">
        <v>14.4</v>
      </c>
    </row>
    <row r="452" spans="1:11" x14ac:dyDescent="0.3">
      <c r="A452">
        <v>2026</v>
      </c>
      <c r="B452">
        <v>1</v>
      </c>
      <c r="C452" t="s">
        <v>11</v>
      </c>
      <c r="D452" t="s">
        <v>111</v>
      </c>
      <c r="E452" t="str">
        <f>TEXT(12979968000190,"00000000000000")</f>
        <v>12979968000190</v>
      </c>
      <c r="F452" t="s">
        <v>273</v>
      </c>
      <c r="G452" t="s">
        <v>14</v>
      </c>
      <c r="H452">
        <v>28060873</v>
      </c>
      <c r="I452" t="s">
        <v>61</v>
      </c>
      <c r="J452">
        <v>37</v>
      </c>
      <c r="K452">
        <v>118.4</v>
      </c>
    </row>
    <row r="453" spans="1:11" x14ac:dyDescent="0.3">
      <c r="A453">
        <v>2026</v>
      </c>
      <c r="B453">
        <v>1</v>
      </c>
      <c r="C453" t="s">
        <v>11</v>
      </c>
      <c r="D453" t="s">
        <v>111</v>
      </c>
      <c r="E453" t="str">
        <f>TEXT(12979968000190,"00000000000000")</f>
        <v>12979968000190</v>
      </c>
      <c r="F453" t="s">
        <v>273</v>
      </c>
      <c r="G453" t="s">
        <v>14</v>
      </c>
      <c r="H453">
        <v>28061004</v>
      </c>
      <c r="I453" t="s">
        <v>62</v>
      </c>
      <c r="J453">
        <v>3</v>
      </c>
      <c r="K453">
        <v>11.52</v>
      </c>
    </row>
    <row r="454" spans="1:11" x14ac:dyDescent="0.3">
      <c r="A454">
        <v>2026</v>
      </c>
      <c r="B454">
        <v>1</v>
      </c>
      <c r="C454" t="s">
        <v>11</v>
      </c>
      <c r="D454" t="s">
        <v>111</v>
      </c>
      <c r="E454" t="str">
        <f>TEXT(12979968000190,"00000000000000")</f>
        <v>12979968000190</v>
      </c>
      <c r="F454" t="s">
        <v>273</v>
      </c>
      <c r="G454" t="s">
        <v>14</v>
      </c>
      <c r="H454">
        <v>28061497</v>
      </c>
      <c r="I454" t="s">
        <v>282</v>
      </c>
      <c r="J454">
        <v>4</v>
      </c>
      <c r="K454">
        <v>64</v>
      </c>
    </row>
    <row r="455" spans="1:11" x14ac:dyDescent="0.3">
      <c r="A455">
        <v>2026</v>
      </c>
      <c r="B455">
        <v>1</v>
      </c>
      <c r="C455" t="s">
        <v>11</v>
      </c>
      <c r="D455" t="s">
        <v>111</v>
      </c>
      <c r="E455" t="str">
        <f>TEXT(12979968000190,"00000000000000")</f>
        <v>12979968000190</v>
      </c>
      <c r="F455" t="s">
        <v>273</v>
      </c>
      <c r="G455" t="s">
        <v>14</v>
      </c>
      <c r="H455">
        <v>28061624</v>
      </c>
      <c r="I455" t="s">
        <v>92</v>
      </c>
      <c r="J455">
        <v>2</v>
      </c>
      <c r="K455">
        <v>76</v>
      </c>
    </row>
    <row r="456" spans="1:11" x14ac:dyDescent="0.3">
      <c r="A456">
        <v>2026</v>
      </c>
      <c r="B456">
        <v>1</v>
      </c>
      <c r="C456" t="s">
        <v>11</v>
      </c>
      <c r="D456" t="s">
        <v>111</v>
      </c>
      <c r="E456" t="str">
        <f>TEXT(12979968000190,"00000000000000")</f>
        <v>12979968000190</v>
      </c>
      <c r="F456" t="s">
        <v>273</v>
      </c>
      <c r="G456" t="s">
        <v>14</v>
      </c>
      <c r="H456">
        <v>28061640</v>
      </c>
      <c r="I456" t="s">
        <v>283</v>
      </c>
      <c r="J456">
        <v>1</v>
      </c>
      <c r="K456">
        <v>21.6</v>
      </c>
    </row>
    <row r="457" spans="1:11" x14ac:dyDescent="0.3">
      <c r="A457">
        <v>2026</v>
      </c>
      <c r="B457">
        <v>1</v>
      </c>
      <c r="C457" t="s">
        <v>11</v>
      </c>
      <c r="D457" t="s">
        <v>111</v>
      </c>
      <c r="E457" t="str">
        <f>TEXT(12979968000190,"00000000000000")</f>
        <v>12979968000190</v>
      </c>
      <c r="F457" t="s">
        <v>273</v>
      </c>
      <c r="G457" t="s">
        <v>14</v>
      </c>
      <c r="H457">
        <v>28061659</v>
      </c>
      <c r="I457" t="s">
        <v>63</v>
      </c>
      <c r="J457">
        <v>2</v>
      </c>
      <c r="K457">
        <v>86.4</v>
      </c>
    </row>
    <row r="458" spans="1:11" x14ac:dyDescent="0.3">
      <c r="A458">
        <v>2026</v>
      </c>
      <c r="B458">
        <v>1</v>
      </c>
      <c r="C458" t="s">
        <v>11</v>
      </c>
      <c r="D458" t="s">
        <v>111</v>
      </c>
      <c r="E458" t="str">
        <f>TEXT(12979968000190,"00000000000000")</f>
        <v>12979968000190</v>
      </c>
      <c r="F458" t="s">
        <v>273</v>
      </c>
      <c r="G458" t="s">
        <v>14</v>
      </c>
      <c r="H458">
        <v>28061691</v>
      </c>
      <c r="I458" t="s">
        <v>64</v>
      </c>
      <c r="J458">
        <v>4</v>
      </c>
      <c r="K458">
        <v>169.6</v>
      </c>
    </row>
    <row r="459" spans="1:11" x14ac:dyDescent="0.3">
      <c r="A459">
        <v>2026</v>
      </c>
      <c r="B459">
        <v>1</v>
      </c>
      <c r="C459" t="s">
        <v>11</v>
      </c>
      <c r="D459" t="s">
        <v>111</v>
      </c>
      <c r="E459" t="str">
        <f>TEXT(12979968000190,"00000000000000")</f>
        <v>12979968000190</v>
      </c>
      <c r="F459" t="s">
        <v>273</v>
      </c>
      <c r="G459" t="s">
        <v>14</v>
      </c>
      <c r="H459">
        <v>28062078</v>
      </c>
      <c r="I459" t="s">
        <v>284</v>
      </c>
      <c r="J459">
        <v>1</v>
      </c>
      <c r="K459">
        <v>17.2</v>
      </c>
    </row>
    <row r="460" spans="1:11" x14ac:dyDescent="0.3">
      <c r="A460">
        <v>2026</v>
      </c>
      <c r="B460">
        <v>1</v>
      </c>
      <c r="C460" t="s">
        <v>11</v>
      </c>
      <c r="D460" t="s">
        <v>111</v>
      </c>
      <c r="E460" t="str">
        <f>TEXT(12979968000190,"00000000000000")</f>
        <v>12979968000190</v>
      </c>
      <c r="F460" t="s">
        <v>273</v>
      </c>
      <c r="G460" t="s">
        <v>14</v>
      </c>
      <c r="H460">
        <v>28062124</v>
      </c>
      <c r="I460" t="s">
        <v>65</v>
      </c>
      <c r="J460">
        <v>2</v>
      </c>
      <c r="K460">
        <v>34.4</v>
      </c>
    </row>
    <row r="461" spans="1:11" x14ac:dyDescent="0.3">
      <c r="A461">
        <v>2026</v>
      </c>
      <c r="B461">
        <v>1</v>
      </c>
      <c r="C461" t="s">
        <v>11</v>
      </c>
      <c r="D461" t="s">
        <v>111</v>
      </c>
      <c r="E461" t="str">
        <f>TEXT(12979968000190,"00000000000000")</f>
        <v>12979968000190</v>
      </c>
      <c r="F461" t="s">
        <v>273</v>
      </c>
      <c r="G461" t="s">
        <v>14</v>
      </c>
      <c r="H461">
        <v>28062515</v>
      </c>
      <c r="I461" t="s">
        <v>66</v>
      </c>
      <c r="J461">
        <v>11</v>
      </c>
      <c r="K461">
        <v>545.6</v>
      </c>
    </row>
    <row r="462" spans="1:11" x14ac:dyDescent="0.3">
      <c r="A462">
        <v>2026</v>
      </c>
      <c r="B462">
        <v>1</v>
      </c>
      <c r="C462" t="s">
        <v>11</v>
      </c>
      <c r="D462" t="s">
        <v>111</v>
      </c>
      <c r="E462" t="str">
        <f>TEXT(12979968000190,"00000000000000")</f>
        <v>12979968000190</v>
      </c>
      <c r="F462" t="s">
        <v>273</v>
      </c>
      <c r="G462" t="s">
        <v>14</v>
      </c>
      <c r="H462">
        <v>28100034</v>
      </c>
      <c r="I462" t="s">
        <v>121</v>
      </c>
      <c r="J462">
        <v>2</v>
      </c>
      <c r="K462">
        <v>8.9600000000000009</v>
      </c>
    </row>
    <row r="463" spans="1:11" x14ac:dyDescent="0.3">
      <c r="A463">
        <v>2026</v>
      </c>
      <c r="B463">
        <v>1</v>
      </c>
      <c r="C463" t="s">
        <v>11</v>
      </c>
      <c r="D463" t="s">
        <v>111</v>
      </c>
      <c r="E463" t="str">
        <f>TEXT(12979968000190,"00000000000000")</f>
        <v>12979968000190</v>
      </c>
      <c r="F463" t="s">
        <v>273</v>
      </c>
      <c r="G463" t="s">
        <v>14</v>
      </c>
      <c r="H463">
        <v>28100298</v>
      </c>
      <c r="I463" t="s">
        <v>285</v>
      </c>
      <c r="J463">
        <v>2</v>
      </c>
      <c r="K463">
        <v>21.6</v>
      </c>
    </row>
    <row r="464" spans="1:11" x14ac:dyDescent="0.3">
      <c r="A464">
        <v>2026</v>
      </c>
      <c r="B464">
        <v>1</v>
      </c>
      <c r="C464" t="s">
        <v>11</v>
      </c>
      <c r="D464" t="s">
        <v>111</v>
      </c>
      <c r="E464" t="str">
        <f>TEXT(12979968000190,"00000000000000")</f>
        <v>12979968000190</v>
      </c>
      <c r="F464" t="s">
        <v>273</v>
      </c>
      <c r="G464" t="s">
        <v>14</v>
      </c>
      <c r="H464">
        <v>28100549</v>
      </c>
      <c r="I464" t="s">
        <v>68</v>
      </c>
      <c r="J464">
        <v>17</v>
      </c>
      <c r="K464">
        <v>180.2</v>
      </c>
    </row>
    <row r="465" spans="1:11" x14ac:dyDescent="0.3">
      <c r="A465">
        <v>2026</v>
      </c>
      <c r="B465">
        <v>1</v>
      </c>
      <c r="C465" t="s">
        <v>11</v>
      </c>
      <c r="D465" t="s">
        <v>111</v>
      </c>
      <c r="E465" t="str">
        <f>TEXT(12979968000190,"00000000000000")</f>
        <v>12979968000190</v>
      </c>
      <c r="F465" t="s">
        <v>273</v>
      </c>
      <c r="G465" t="s">
        <v>14</v>
      </c>
      <c r="H465">
        <v>28130367</v>
      </c>
      <c r="I465" t="s">
        <v>69</v>
      </c>
      <c r="J465">
        <v>22</v>
      </c>
      <c r="K465">
        <v>84.48</v>
      </c>
    </row>
    <row r="466" spans="1:11" x14ac:dyDescent="0.3">
      <c r="A466">
        <v>2026</v>
      </c>
      <c r="B466">
        <v>1</v>
      </c>
      <c r="C466" t="s">
        <v>11</v>
      </c>
      <c r="D466" t="s">
        <v>111</v>
      </c>
      <c r="E466" t="str">
        <f>TEXT(12979968000190,"00000000000000")</f>
        <v>12979968000190</v>
      </c>
      <c r="F466" t="s">
        <v>273</v>
      </c>
      <c r="G466" t="s">
        <v>14</v>
      </c>
      <c r="H466">
        <v>28150279</v>
      </c>
      <c r="I466" t="s">
        <v>71</v>
      </c>
      <c r="J466">
        <v>2</v>
      </c>
      <c r="K466">
        <v>51.84</v>
      </c>
    </row>
    <row r="467" spans="1:11" x14ac:dyDescent="0.3">
      <c r="A467">
        <v>2026</v>
      </c>
      <c r="B467">
        <v>1</v>
      </c>
      <c r="C467" t="s">
        <v>11</v>
      </c>
      <c r="D467" t="s">
        <v>286</v>
      </c>
      <c r="E467" t="str">
        <f>TEXT(30877988000132,"00000000000000")</f>
        <v>30877988000132</v>
      </c>
      <c r="F467" t="s">
        <v>287</v>
      </c>
      <c r="G467" t="s">
        <v>14</v>
      </c>
      <c r="H467">
        <v>10200</v>
      </c>
      <c r="I467" t="s">
        <v>288</v>
      </c>
      <c r="J467">
        <v>8</v>
      </c>
      <c r="K467">
        <v>440</v>
      </c>
    </row>
    <row r="468" spans="1:11" x14ac:dyDescent="0.3">
      <c r="A468">
        <v>2026</v>
      </c>
      <c r="B468">
        <v>1</v>
      </c>
      <c r="C468" t="s">
        <v>11</v>
      </c>
      <c r="D468" t="s">
        <v>286</v>
      </c>
      <c r="E468" t="str">
        <f>TEXT(30877988000132,"00000000000000")</f>
        <v>30877988000132</v>
      </c>
      <c r="F468" t="s">
        <v>287</v>
      </c>
      <c r="G468" t="s">
        <v>14</v>
      </c>
      <c r="H468">
        <v>20010010</v>
      </c>
      <c r="I468" t="s">
        <v>133</v>
      </c>
      <c r="J468">
        <v>8</v>
      </c>
      <c r="K468">
        <v>152</v>
      </c>
    </row>
    <row r="469" spans="1:11" x14ac:dyDescent="0.3">
      <c r="A469">
        <v>2026</v>
      </c>
      <c r="B469">
        <v>1</v>
      </c>
      <c r="C469" t="s">
        <v>11</v>
      </c>
      <c r="D469" t="s">
        <v>286</v>
      </c>
      <c r="E469" t="str">
        <f>TEXT(30877988000132,"00000000000000")</f>
        <v>30877988000132</v>
      </c>
      <c r="F469" t="s">
        <v>287</v>
      </c>
      <c r="G469" t="s">
        <v>14</v>
      </c>
      <c r="H469">
        <v>20010052</v>
      </c>
      <c r="I469" t="s">
        <v>289</v>
      </c>
      <c r="J469">
        <v>1</v>
      </c>
      <c r="K469">
        <v>113.6</v>
      </c>
    </row>
    <row r="470" spans="1:11" x14ac:dyDescent="0.3">
      <c r="A470">
        <v>2026</v>
      </c>
      <c r="B470">
        <v>1</v>
      </c>
      <c r="C470" t="s">
        <v>11</v>
      </c>
      <c r="D470" t="s">
        <v>286</v>
      </c>
      <c r="E470" t="str">
        <f>TEXT(30877988000132,"00000000000000")</f>
        <v>30877988000132</v>
      </c>
      <c r="F470" t="s">
        <v>287</v>
      </c>
      <c r="G470" t="s">
        <v>14</v>
      </c>
      <c r="H470">
        <v>20010141</v>
      </c>
      <c r="I470" t="s">
        <v>290</v>
      </c>
      <c r="J470">
        <v>4</v>
      </c>
      <c r="K470">
        <v>506.4</v>
      </c>
    </row>
    <row r="471" spans="1:11" x14ac:dyDescent="0.3">
      <c r="A471">
        <v>2026</v>
      </c>
      <c r="B471">
        <v>1</v>
      </c>
      <c r="C471" t="s">
        <v>291</v>
      </c>
      <c r="D471" t="s">
        <v>292</v>
      </c>
      <c r="E471" t="str">
        <f>TEXT(228813000133,"00000000000000")</f>
        <v>00228813000133</v>
      </c>
      <c r="F471" t="s">
        <v>293</v>
      </c>
      <c r="G471" t="s">
        <v>14</v>
      </c>
      <c r="H471">
        <v>31010040</v>
      </c>
      <c r="I471" t="s">
        <v>294</v>
      </c>
      <c r="J471">
        <v>8</v>
      </c>
      <c r="K471">
        <v>3798</v>
      </c>
    </row>
    <row r="472" spans="1:11" x14ac:dyDescent="0.3">
      <c r="A472">
        <v>2026</v>
      </c>
      <c r="B472">
        <v>1</v>
      </c>
      <c r="C472" t="s">
        <v>291</v>
      </c>
      <c r="D472" t="s">
        <v>292</v>
      </c>
      <c r="E472" t="str">
        <f>TEXT(228813000133,"00000000000000")</f>
        <v>00228813000133</v>
      </c>
      <c r="F472" t="s">
        <v>293</v>
      </c>
      <c r="G472" t="s">
        <v>14</v>
      </c>
      <c r="H472">
        <v>31060021</v>
      </c>
      <c r="I472" t="s">
        <v>295</v>
      </c>
      <c r="J472">
        <v>10</v>
      </c>
      <c r="K472">
        <v>1213.3</v>
      </c>
    </row>
    <row r="473" spans="1:11" x14ac:dyDescent="0.3">
      <c r="A473">
        <v>2026</v>
      </c>
      <c r="B473">
        <v>1</v>
      </c>
      <c r="C473" t="s">
        <v>291</v>
      </c>
      <c r="D473" t="s">
        <v>292</v>
      </c>
      <c r="E473" t="str">
        <f>TEXT(228813000133,"00000000000000")</f>
        <v>00228813000133</v>
      </c>
      <c r="F473" t="s">
        <v>293</v>
      </c>
      <c r="G473" t="s">
        <v>173</v>
      </c>
      <c r="H473">
        <v>64647</v>
      </c>
      <c r="I473" t="s">
        <v>296</v>
      </c>
      <c r="J473">
        <v>18</v>
      </c>
      <c r="K473">
        <v>109.62</v>
      </c>
    </row>
    <row r="474" spans="1:11" x14ac:dyDescent="0.3">
      <c r="A474">
        <v>2026</v>
      </c>
      <c r="B474">
        <v>1</v>
      </c>
      <c r="C474" t="s">
        <v>291</v>
      </c>
      <c r="D474" t="s">
        <v>292</v>
      </c>
      <c r="E474" t="str">
        <f>TEXT(228813000133,"00000000000000")</f>
        <v>00228813000133</v>
      </c>
      <c r="F474" t="s">
        <v>293</v>
      </c>
      <c r="G474" t="s">
        <v>173</v>
      </c>
      <c r="H474">
        <v>153074</v>
      </c>
      <c r="I474" t="s">
        <v>297</v>
      </c>
      <c r="J474">
        <v>18</v>
      </c>
      <c r="K474">
        <v>32.58</v>
      </c>
    </row>
    <row r="475" spans="1:11" x14ac:dyDescent="0.3">
      <c r="A475">
        <v>2026</v>
      </c>
      <c r="B475">
        <v>1</v>
      </c>
      <c r="C475" t="s">
        <v>291</v>
      </c>
      <c r="D475" t="s">
        <v>292</v>
      </c>
      <c r="E475" t="str">
        <f>TEXT(228813000133,"00000000000000")</f>
        <v>00228813000133</v>
      </c>
      <c r="F475" t="s">
        <v>293</v>
      </c>
      <c r="G475" t="s">
        <v>204</v>
      </c>
      <c r="H475">
        <v>54572</v>
      </c>
      <c r="I475" t="s">
        <v>298</v>
      </c>
      <c r="J475">
        <v>10</v>
      </c>
      <c r="K475">
        <v>3239.2</v>
      </c>
    </row>
    <row r="476" spans="1:11" x14ac:dyDescent="0.3">
      <c r="A476">
        <v>2026</v>
      </c>
      <c r="B476">
        <v>1</v>
      </c>
      <c r="C476" t="s">
        <v>291</v>
      </c>
      <c r="D476" t="s">
        <v>292</v>
      </c>
      <c r="E476" t="str">
        <f>TEXT(228813000133,"00000000000000")</f>
        <v>00228813000133</v>
      </c>
      <c r="F476" t="s">
        <v>293</v>
      </c>
      <c r="G476" t="s">
        <v>204</v>
      </c>
      <c r="H476">
        <v>54573</v>
      </c>
      <c r="I476" t="s">
        <v>299</v>
      </c>
      <c r="J476">
        <v>8</v>
      </c>
      <c r="K476">
        <v>9091.36</v>
      </c>
    </row>
    <row r="477" spans="1:11" x14ac:dyDescent="0.3">
      <c r="A477">
        <v>2026</v>
      </c>
      <c r="B477">
        <v>1</v>
      </c>
      <c r="C477" t="s">
        <v>291</v>
      </c>
      <c r="D477" t="s">
        <v>292</v>
      </c>
      <c r="E477" t="str">
        <f>TEXT(1438059000129,"00000000000000")</f>
        <v>01438059000129</v>
      </c>
      <c r="F477" t="s">
        <v>300</v>
      </c>
      <c r="G477" t="s">
        <v>14</v>
      </c>
      <c r="H477">
        <v>20010</v>
      </c>
      <c r="I477" t="s">
        <v>130</v>
      </c>
      <c r="J477">
        <v>12</v>
      </c>
      <c r="K477">
        <v>307.68</v>
      </c>
    </row>
    <row r="478" spans="1:11" x14ac:dyDescent="0.3">
      <c r="A478">
        <v>2026</v>
      </c>
      <c r="B478">
        <v>1</v>
      </c>
      <c r="C478" t="s">
        <v>291</v>
      </c>
      <c r="D478" t="s">
        <v>292</v>
      </c>
      <c r="E478" t="str">
        <f>TEXT(1438059000129,"00000000000000")</f>
        <v>01438059000129</v>
      </c>
      <c r="F478" t="s">
        <v>300</v>
      </c>
      <c r="G478" t="s">
        <v>14</v>
      </c>
      <c r="H478">
        <v>15010074</v>
      </c>
      <c r="I478" t="s">
        <v>301</v>
      </c>
      <c r="J478">
        <v>1</v>
      </c>
      <c r="K478">
        <v>957</v>
      </c>
    </row>
    <row r="479" spans="1:11" x14ac:dyDescent="0.3">
      <c r="A479">
        <v>2026</v>
      </c>
      <c r="B479">
        <v>1</v>
      </c>
      <c r="C479" t="s">
        <v>291</v>
      </c>
      <c r="D479" t="s">
        <v>292</v>
      </c>
      <c r="E479" t="str">
        <f>TEXT(1438059000129,"00000000000000")</f>
        <v>01438059000129</v>
      </c>
      <c r="F479" t="s">
        <v>300</v>
      </c>
      <c r="G479" t="s">
        <v>14</v>
      </c>
      <c r="H479">
        <v>99130033</v>
      </c>
      <c r="I479" t="s">
        <v>302</v>
      </c>
      <c r="J479">
        <v>111</v>
      </c>
      <c r="K479">
        <v>91020</v>
      </c>
    </row>
    <row r="480" spans="1:11" x14ac:dyDescent="0.3">
      <c r="A480">
        <v>2026</v>
      </c>
      <c r="B480">
        <v>1</v>
      </c>
      <c r="C480" t="s">
        <v>291</v>
      </c>
      <c r="D480" t="s">
        <v>292</v>
      </c>
      <c r="E480" t="str">
        <f>TEXT(1438059000129,"00000000000000")</f>
        <v>01438059000129</v>
      </c>
      <c r="F480" t="s">
        <v>300</v>
      </c>
      <c r="G480" t="s">
        <v>14</v>
      </c>
      <c r="H480">
        <v>99130041</v>
      </c>
      <c r="I480" t="s">
        <v>303</v>
      </c>
      <c r="J480">
        <v>2</v>
      </c>
      <c r="K480">
        <v>2200</v>
      </c>
    </row>
    <row r="481" spans="1:11" x14ac:dyDescent="0.3">
      <c r="A481">
        <v>2026</v>
      </c>
      <c r="B481">
        <v>1</v>
      </c>
      <c r="C481" t="s">
        <v>291</v>
      </c>
      <c r="D481" t="s">
        <v>292</v>
      </c>
      <c r="E481" t="str">
        <f>TEXT(3007832000128,"00000000000000")</f>
        <v>03007832000128</v>
      </c>
      <c r="F481" t="s">
        <v>304</v>
      </c>
      <c r="G481" t="s">
        <v>14</v>
      </c>
      <c r="H481">
        <v>22010130</v>
      </c>
      <c r="I481" t="s">
        <v>305</v>
      </c>
      <c r="J481">
        <v>39</v>
      </c>
      <c r="K481">
        <v>6630</v>
      </c>
    </row>
    <row r="482" spans="1:11" x14ac:dyDescent="0.3">
      <c r="A482">
        <v>2026</v>
      </c>
      <c r="B482">
        <v>1</v>
      </c>
      <c r="C482" t="s">
        <v>291</v>
      </c>
      <c r="D482" t="s">
        <v>292</v>
      </c>
      <c r="E482" t="str">
        <f>TEXT(3007832000128,"00000000000000")</f>
        <v>03007832000128</v>
      </c>
      <c r="F482" t="s">
        <v>304</v>
      </c>
      <c r="G482" t="s">
        <v>14</v>
      </c>
      <c r="H482">
        <v>34010017</v>
      </c>
      <c r="I482" t="s">
        <v>157</v>
      </c>
      <c r="J482">
        <v>2</v>
      </c>
      <c r="K482">
        <v>539.04</v>
      </c>
    </row>
    <row r="483" spans="1:11" x14ac:dyDescent="0.3">
      <c r="A483">
        <v>2026</v>
      </c>
      <c r="B483">
        <v>1</v>
      </c>
      <c r="C483" t="s">
        <v>291</v>
      </c>
      <c r="D483" t="s">
        <v>292</v>
      </c>
      <c r="E483" t="str">
        <f>TEXT(3007832000128,"00000000000000")</f>
        <v>03007832000128</v>
      </c>
      <c r="F483" t="s">
        <v>304</v>
      </c>
      <c r="G483" t="s">
        <v>14</v>
      </c>
      <c r="H483">
        <v>34010025</v>
      </c>
      <c r="I483" t="s">
        <v>158</v>
      </c>
      <c r="J483">
        <v>1</v>
      </c>
      <c r="K483">
        <v>269.52</v>
      </c>
    </row>
    <row r="484" spans="1:11" x14ac:dyDescent="0.3">
      <c r="A484">
        <v>2026</v>
      </c>
      <c r="B484">
        <v>1</v>
      </c>
      <c r="C484" t="s">
        <v>291</v>
      </c>
      <c r="D484" t="s">
        <v>292</v>
      </c>
      <c r="E484" t="str">
        <f>TEXT(3007832000128,"00000000000000")</f>
        <v>03007832000128</v>
      </c>
      <c r="F484" t="s">
        <v>304</v>
      </c>
      <c r="G484" t="s">
        <v>14</v>
      </c>
      <c r="H484">
        <v>34010033</v>
      </c>
      <c r="I484" t="s">
        <v>159</v>
      </c>
      <c r="J484">
        <v>2</v>
      </c>
      <c r="K484">
        <v>440.62</v>
      </c>
    </row>
    <row r="485" spans="1:11" x14ac:dyDescent="0.3">
      <c r="A485">
        <v>2026</v>
      </c>
      <c r="B485">
        <v>1</v>
      </c>
      <c r="C485" t="s">
        <v>291</v>
      </c>
      <c r="D485" t="s">
        <v>292</v>
      </c>
      <c r="E485" t="str">
        <f>TEXT(3007832000128,"00000000000000")</f>
        <v>03007832000128</v>
      </c>
      <c r="F485" t="s">
        <v>304</v>
      </c>
      <c r="G485" t="s">
        <v>14</v>
      </c>
      <c r="H485">
        <v>34010068</v>
      </c>
      <c r="I485" t="s">
        <v>160</v>
      </c>
      <c r="J485">
        <v>4</v>
      </c>
      <c r="K485">
        <v>881.24</v>
      </c>
    </row>
    <row r="486" spans="1:11" x14ac:dyDescent="0.3">
      <c r="A486">
        <v>2026</v>
      </c>
      <c r="B486">
        <v>1</v>
      </c>
      <c r="C486" t="s">
        <v>291</v>
      </c>
      <c r="D486" t="s">
        <v>292</v>
      </c>
      <c r="E486" t="str">
        <f>TEXT(3007832000128,"00000000000000")</f>
        <v>03007832000128</v>
      </c>
      <c r="F486" t="s">
        <v>304</v>
      </c>
      <c r="G486" t="s">
        <v>14</v>
      </c>
      <c r="H486">
        <v>34010084</v>
      </c>
      <c r="I486" t="s">
        <v>306</v>
      </c>
      <c r="J486">
        <v>2</v>
      </c>
      <c r="K486">
        <v>440.62</v>
      </c>
    </row>
    <row r="487" spans="1:11" x14ac:dyDescent="0.3">
      <c r="A487">
        <v>2026</v>
      </c>
      <c r="B487">
        <v>1</v>
      </c>
      <c r="C487" t="s">
        <v>291</v>
      </c>
      <c r="D487" t="s">
        <v>292</v>
      </c>
      <c r="E487" t="str">
        <f>TEXT(3007832000128,"00000000000000")</f>
        <v>03007832000128</v>
      </c>
      <c r="F487" t="s">
        <v>304</v>
      </c>
      <c r="G487" t="s">
        <v>14</v>
      </c>
      <c r="H487">
        <v>34010092</v>
      </c>
      <c r="I487" t="s">
        <v>307</v>
      </c>
      <c r="J487">
        <v>1</v>
      </c>
      <c r="K487">
        <v>269.52</v>
      </c>
    </row>
    <row r="488" spans="1:11" x14ac:dyDescent="0.3">
      <c r="A488">
        <v>2026</v>
      </c>
      <c r="B488">
        <v>1</v>
      </c>
      <c r="C488" t="s">
        <v>291</v>
      </c>
      <c r="D488" t="s">
        <v>292</v>
      </c>
      <c r="E488" t="str">
        <f>TEXT(3007832000128,"00000000000000")</f>
        <v>03007832000128</v>
      </c>
      <c r="F488" t="s">
        <v>304</v>
      </c>
      <c r="G488" t="s">
        <v>14</v>
      </c>
      <c r="H488">
        <v>34010106</v>
      </c>
      <c r="I488" t="s">
        <v>161</v>
      </c>
      <c r="J488">
        <v>1</v>
      </c>
      <c r="K488">
        <v>269.52</v>
      </c>
    </row>
    <row r="489" spans="1:11" x14ac:dyDescent="0.3">
      <c r="A489">
        <v>2026</v>
      </c>
      <c r="B489">
        <v>1</v>
      </c>
      <c r="C489" t="s">
        <v>291</v>
      </c>
      <c r="D489" t="s">
        <v>292</v>
      </c>
      <c r="E489" t="str">
        <f>TEXT(3007832000128,"00000000000000")</f>
        <v>03007832000128</v>
      </c>
      <c r="F489" t="s">
        <v>304</v>
      </c>
      <c r="G489" t="s">
        <v>14</v>
      </c>
      <c r="H489">
        <v>34010130</v>
      </c>
      <c r="I489" t="s">
        <v>162</v>
      </c>
      <c r="J489">
        <v>1</v>
      </c>
      <c r="K489">
        <v>269.52</v>
      </c>
    </row>
    <row r="490" spans="1:11" x14ac:dyDescent="0.3">
      <c r="A490">
        <v>2026</v>
      </c>
      <c r="B490">
        <v>1</v>
      </c>
      <c r="C490" t="s">
        <v>291</v>
      </c>
      <c r="D490" t="s">
        <v>292</v>
      </c>
      <c r="E490" t="str">
        <f>TEXT(4254254000197,"00000000000000")</f>
        <v>04254254000197</v>
      </c>
      <c r="F490" t="s">
        <v>308</v>
      </c>
      <c r="G490" t="s">
        <v>14</v>
      </c>
      <c r="H490">
        <v>21010307</v>
      </c>
      <c r="I490" t="s">
        <v>309</v>
      </c>
      <c r="J490">
        <v>37</v>
      </c>
      <c r="K490">
        <v>824.36</v>
      </c>
    </row>
    <row r="491" spans="1:11" x14ac:dyDescent="0.3">
      <c r="A491">
        <v>2026</v>
      </c>
      <c r="B491">
        <v>1</v>
      </c>
      <c r="C491" t="s">
        <v>291</v>
      </c>
      <c r="D491" t="s">
        <v>292</v>
      </c>
      <c r="E491" t="str">
        <f>TEXT(4254254000197,"00000000000000")</f>
        <v>04254254000197</v>
      </c>
      <c r="F491" t="s">
        <v>308</v>
      </c>
      <c r="G491" t="s">
        <v>14</v>
      </c>
      <c r="H491">
        <v>21010382</v>
      </c>
      <c r="I491" t="s">
        <v>310</v>
      </c>
      <c r="J491">
        <v>30</v>
      </c>
      <c r="K491">
        <v>1620</v>
      </c>
    </row>
    <row r="492" spans="1:11" x14ac:dyDescent="0.3">
      <c r="A492">
        <v>2026</v>
      </c>
      <c r="B492">
        <v>1</v>
      </c>
      <c r="C492" t="s">
        <v>291</v>
      </c>
      <c r="D492" t="s">
        <v>292</v>
      </c>
      <c r="E492" t="str">
        <f>TEXT(4254254000197,"00000000000000")</f>
        <v>04254254000197</v>
      </c>
      <c r="F492" t="s">
        <v>308</v>
      </c>
      <c r="G492" t="s">
        <v>14</v>
      </c>
      <c r="H492">
        <v>21010447</v>
      </c>
      <c r="I492" t="s">
        <v>311</v>
      </c>
      <c r="J492">
        <v>74</v>
      </c>
      <c r="K492">
        <v>7148.4</v>
      </c>
    </row>
    <row r="493" spans="1:11" x14ac:dyDescent="0.3">
      <c r="A493">
        <v>2026</v>
      </c>
      <c r="B493">
        <v>1</v>
      </c>
      <c r="C493" t="s">
        <v>291</v>
      </c>
      <c r="D493" t="s">
        <v>292</v>
      </c>
      <c r="E493" t="str">
        <f>TEXT(4254254000197,"00000000000000")</f>
        <v>04254254000197</v>
      </c>
      <c r="F493" t="s">
        <v>308</v>
      </c>
      <c r="G493" t="s">
        <v>14</v>
      </c>
      <c r="H493">
        <v>21010455</v>
      </c>
      <c r="I493" t="s">
        <v>312</v>
      </c>
      <c r="J493">
        <v>38</v>
      </c>
      <c r="K493">
        <v>1692.9</v>
      </c>
    </row>
    <row r="494" spans="1:11" x14ac:dyDescent="0.3">
      <c r="A494">
        <v>2026</v>
      </c>
      <c r="B494">
        <v>1</v>
      </c>
      <c r="C494" t="s">
        <v>291</v>
      </c>
      <c r="D494" t="s">
        <v>292</v>
      </c>
      <c r="E494" t="str">
        <f>TEXT(4254254000197,"00000000000000")</f>
        <v>04254254000197</v>
      </c>
      <c r="F494" t="s">
        <v>308</v>
      </c>
      <c r="G494" t="s">
        <v>14</v>
      </c>
      <c r="H494">
        <v>21010471</v>
      </c>
      <c r="I494" t="s">
        <v>313</v>
      </c>
      <c r="J494">
        <v>4</v>
      </c>
      <c r="K494">
        <v>178.2</v>
      </c>
    </row>
    <row r="495" spans="1:11" x14ac:dyDescent="0.3">
      <c r="A495">
        <v>2026</v>
      </c>
      <c r="B495">
        <v>1</v>
      </c>
      <c r="C495" t="s">
        <v>291</v>
      </c>
      <c r="D495" t="s">
        <v>292</v>
      </c>
      <c r="E495" t="str">
        <f>TEXT(4254254000197,"00000000000000")</f>
        <v>04254254000197</v>
      </c>
      <c r="F495" t="s">
        <v>308</v>
      </c>
      <c r="G495" t="s">
        <v>14</v>
      </c>
      <c r="H495">
        <v>21010498</v>
      </c>
      <c r="I495" t="s">
        <v>314</v>
      </c>
      <c r="J495">
        <v>25</v>
      </c>
      <c r="K495">
        <v>11778.5</v>
      </c>
    </row>
    <row r="496" spans="1:11" x14ac:dyDescent="0.3">
      <c r="A496">
        <v>2026</v>
      </c>
      <c r="B496">
        <v>1</v>
      </c>
      <c r="C496" t="s">
        <v>291</v>
      </c>
      <c r="D496" t="s">
        <v>292</v>
      </c>
      <c r="E496" t="str">
        <f>TEXT(4254254000197,"00000000000000")</f>
        <v>04254254000197</v>
      </c>
      <c r="F496" t="s">
        <v>308</v>
      </c>
      <c r="G496" t="s">
        <v>14</v>
      </c>
      <c r="H496">
        <v>21010510</v>
      </c>
      <c r="I496" t="s">
        <v>315</v>
      </c>
      <c r="J496">
        <v>78</v>
      </c>
      <c r="K496">
        <v>5525.52</v>
      </c>
    </row>
    <row r="497" spans="1:11" x14ac:dyDescent="0.3">
      <c r="A497">
        <v>2026</v>
      </c>
      <c r="B497">
        <v>1</v>
      </c>
      <c r="C497" t="s">
        <v>291</v>
      </c>
      <c r="D497" t="s">
        <v>292</v>
      </c>
      <c r="E497" t="str">
        <f>TEXT(4254254000197,"00000000000000")</f>
        <v>04254254000197</v>
      </c>
      <c r="F497" t="s">
        <v>308</v>
      </c>
      <c r="G497" t="s">
        <v>14</v>
      </c>
      <c r="H497">
        <v>21010528</v>
      </c>
      <c r="I497" t="s">
        <v>316</v>
      </c>
      <c r="J497">
        <v>1</v>
      </c>
      <c r="K497">
        <v>96.6</v>
      </c>
    </row>
    <row r="498" spans="1:11" x14ac:dyDescent="0.3">
      <c r="A498">
        <v>2026</v>
      </c>
      <c r="B498">
        <v>1</v>
      </c>
      <c r="C498" t="s">
        <v>291</v>
      </c>
      <c r="D498" t="s">
        <v>292</v>
      </c>
      <c r="E498" t="str">
        <f>TEXT(4254254000197,"00000000000000")</f>
        <v>04254254000197</v>
      </c>
      <c r="F498" t="s">
        <v>308</v>
      </c>
      <c r="G498" t="s">
        <v>14</v>
      </c>
      <c r="H498">
        <v>21010544</v>
      </c>
      <c r="I498" t="s">
        <v>317</v>
      </c>
      <c r="J498">
        <v>3</v>
      </c>
      <c r="K498">
        <v>399.6</v>
      </c>
    </row>
    <row r="499" spans="1:11" x14ac:dyDescent="0.3">
      <c r="A499">
        <v>2026</v>
      </c>
      <c r="B499">
        <v>1</v>
      </c>
      <c r="C499" t="s">
        <v>291</v>
      </c>
      <c r="D499" t="s">
        <v>292</v>
      </c>
      <c r="E499" t="str">
        <f>TEXT(4603807000170,"00000000000000")</f>
        <v>04603807000170</v>
      </c>
      <c r="F499" t="s">
        <v>318</v>
      </c>
      <c r="G499" t="s">
        <v>14</v>
      </c>
      <c r="H499">
        <v>10308</v>
      </c>
      <c r="I499" t="s">
        <v>319</v>
      </c>
      <c r="J499">
        <v>3</v>
      </c>
      <c r="K499">
        <v>150</v>
      </c>
    </row>
    <row r="500" spans="1:11" x14ac:dyDescent="0.3">
      <c r="A500">
        <v>2026</v>
      </c>
      <c r="B500">
        <v>1</v>
      </c>
      <c r="C500" t="s">
        <v>291</v>
      </c>
      <c r="D500" t="s">
        <v>292</v>
      </c>
      <c r="E500" t="str">
        <f>TEXT(4603807000170,"00000000000000")</f>
        <v>04603807000170</v>
      </c>
      <c r="F500" t="s">
        <v>318</v>
      </c>
      <c r="G500" t="s">
        <v>14</v>
      </c>
      <c r="H500">
        <v>30010136</v>
      </c>
      <c r="I500" t="s">
        <v>320</v>
      </c>
      <c r="J500">
        <v>1</v>
      </c>
      <c r="K500">
        <v>8</v>
      </c>
    </row>
    <row r="501" spans="1:11" x14ac:dyDescent="0.3">
      <c r="A501">
        <v>2026</v>
      </c>
      <c r="B501">
        <v>1</v>
      </c>
      <c r="C501" t="s">
        <v>291</v>
      </c>
      <c r="D501" t="s">
        <v>292</v>
      </c>
      <c r="E501" t="str">
        <f>TEXT(4603807000170,"00000000000000")</f>
        <v>04603807000170</v>
      </c>
      <c r="F501" t="s">
        <v>318</v>
      </c>
      <c r="G501" t="s">
        <v>14</v>
      </c>
      <c r="H501">
        <v>30020042</v>
      </c>
      <c r="I501" t="s">
        <v>321</v>
      </c>
      <c r="J501">
        <v>53</v>
      </c>
      <c r="K501">
        <v>424</v>
      </c>
    </row>
    <row r="502" spans="1:11" x14ac:dyDescent="0.3">
      <c r="A502">
        <v>2026</v>
      </c>
      <c r="B502">
        <v>1</v>
      </c>
      <c r="C502" t="s">
        <v>291</v>
      </c>
      <c r="D502" t="s">
        <v>292</v>
      </c>
      <c r="E502" t="str">
        <f>TEXT(4603807000170,"00000000000000")</f>
        <v>04603807000170</v>
      </c>
      <c r="F502" t="s">
        <v>318</v>
      </c>
      <c r="G502" t="s">
        <v>14</v>
      </c>
      <c r="H502">
        <v>99000016</v>
      </c>
      <c r="I502" t="s">
        <v>322</v>
      </c>
      <c r="J502">
        <v>40</v>
      </c>
      <c r="K502">
        <v>2200</v>
      </c>
    </row>
    <row r="503" spans="1:11" x14ac:dyDescent="0.3">
      <c r="A503">
        <v>2026</v>
      </c>
      <c r="B503">
        <v>1</v>
      </c>
      <c r="C503" t="s">
        <v>291</v>
      </c>
      <c r="D503" t="s">
        <v>292</v>
      </c>
      <c r="E503" t="str">
        <f>TEXT(4603807000170,"00000000000000")</f>
        <v>04603807000170</v>
      </c>
      <c r="F503" t="s">
        <v>318</v>
      </c>
      <c r="G503" t="s">
        <v>173</v>
      </c>
      <c r="H503">
        <v>70014221</v>
      </c>
      <c r="I503" t="s">
        <v>323</v>
      </c>
      <c r="J503">
        <v>35</v>
      </c>
      <c r="K503">
        <v>40.950000000000003</v>
      </c>
    </row>
    <row r="504" spans="1:11" x14ac:dyDescent="0.3">
      <c r="A504">
        <v>2026</v>
      </c>
      <c r="B504">
        <v>1</v>
      </c>
      <c r="C504" t="s">
        <v>291</v>
      </c>
      <c r="D504" t="s">
        <v>292</v>
      </c>
      <c r="E504" t="str">
        <f>TEXT(4603807000170,"00000000000000")</f>
        <v>04603807000170</v>
      </c>
      <c r="F504" t="s">
        <v>318</v>
      </c>
      <c r="G504" t="s">
        <v>173</v>
      </c>
      <c r="H504">
        <v>70014280</v>
      </c>
      <c r="I504" t="s">
        <v>324</v>
      </c>
      <c r="J504">
        <v>3</v>
      </c>
      <c r="K504">
        <v>3</v>
      </c>
    </row>
    <row r="505" spans="1:11" x14ac:dyDescent="0.3">
      <c r="A505">
        <v>2026</v>
      </c>
      <c r="B505">
        <v>1</v>
      </c>
      <c r="C505" t="s">
        <v>291</v>
      </c>
      <c r="D505" t="s">
        <v>292</v>
      </c>
      <c r="E505" t="str">
        <f>TEXT(4603807000170,"00000000000000")</f>
        <v>04603807000170</v>
      </c>
      <c r="F505" t="s">
        <v>318</v>
      </c>
      <c r="G505" t="s">
        <v>173</v>
      </c>
      <c r="H505">
        <v>70015368</v>
      </c>
      <c r="I505" t="s">
        <v>325</v>
      </c>
      <c r="J505">
        <v>145</v>
      </c>
      <c r="K505">
        <v>317.55</v>
      </c>
    </row>
    <row r="506" spans="1:11" x14ac:dyDescent="0.3">
      <c r="A506">
        <v>2026</v>
      </c>
      <c r="B506">
        <v>1</v>
      </c>
      <c r="C506" t="s">
        <v>291</v>
      </c>
      <c r="D506" t="s">
        <v>292</v>
      </c>
      <c r="E506" t="str">
        <f>TEXT(4603807000170,"00000000000000")</f>
        <v>04603807000170</v>
      </c>
      <c r="F506" t="s">
        <v>318</v>
      </c>
      <c r="G506" t="s">
        <v>173</v>
      </c>
      <c r="H506">
        <v>70135312</v>
      </c>
      <c r="I506" t="s">
        <v>326</v>
      </c>
      <c r="J506">
        <v>30</v>
      </c>
      <c r="K506">
        <v>394.5</v>
      </c>
    </row>
    <row r="507" spans="1:11" x14ac:dyDescent="0.3">
      <c r="A507">
        <v>2026</v>
      </c>
      <c r="B507">
        <v>1</v>
      </c>
      <c r="C507" t="s">
        <v>291</v>
      </c>
      <c r="D507" t="s">
        <v>292</v>
      </c>
      <c r="E507" t="str">
        <f>TEXT(4603807000170,"00000000000000")</f>
        <v>04603807000170</v>
      </c>
      <c r="F507" t="s">
        <v>318</v>
      </c>
      <c r="G507" t="s">
        <v>173</v>
      </c>
      <c r="H507">
        <v>70142360</v>
      </c>
      <c r="I507" t="s">
        <v>327</v>
      </c>
      <c r="J507">
        <v>1</v>
      </c>
      <c r="K507">
        <v>13.15</v>
      </c>
    </row>
    <row r="508" spans="1:11" x14ac:dyDescent="0.3">
      <c r="A508">
        <v>2026</v>
      </c>
      <c r="B508">
        <v>1</v>
      </c>
      <c r="C508" t="s">
        <v>291</v>
      </c>
      <c r="D508" t="s">
        <v>292</v>
      </c>
      <c r="E508" t="str">
        <f>TEXT(4603807000170,"00000000000000")</f>
        <v>04603807000170</v>
      </c>
      <c r="F508" t="s">
        <v>318</v>
      </c>
      <c r="G508" t="s">
        <v>173</v>
      </c>
      <c r="H508">
        <v>70222797</v>
      </c>
      <c r="I508" t="s">
        <v>328</v>
      </c>
      <c r="J508">
        <v>61</v>
      </c>
      <c r="K508">
        <v>4177.8900000000003</v>
      </c>
    </row>
    <row r="509" spans="1:11" x14ac:dyDescent="0.3">
      <c r="A509">
        <v>2026</v>
      </c>
      <c r="B509">
        <v>1</v>
      </c>
      <c r="C509" t="s">
        <v>291</v>
      </c>
      <c r="D509" t="s">
        <v>292</v>
      </c>
      <c r="E509" t="str">
        <f>TEXT(4603807000170,"00000000000000")</f>
        <v>04603807000170</v>
      </c>
      <c r="F509" t="s">
        <v>318</v>
      </c>
      <c r="G509" t="s">
        <v>173</v>
      </c>
      <c r="H509">
        <v>70223033</v>
      </c>
      <c r="I509" t="s">
        <v>329</v>
      </c>
      <c r="J509">
        <v>1</v>
      </c>
      <c r="K509">
        <v>745.16</v>
      </c>
    </row>
    <row r="510" spans="1:11" x14ac:dyDescent="0.3">
      <c r="A510">
        <v>2026</v>
      </c>
      <c r="B510">
        <v>1</v>
      </c>
      <c r="C510" t="s">
        <v>291</v>
      </c>
      <c r="D510" t="s">
        <v>292</v>
      </c>
      <c r="E510" t="str">
        <f>TEXT(4603807000170,"00000000000000")</f>
        <v>04603807000170</v>
      </c>
      <c r="F510" t="s">
        <v>318</v>
      </c>
      <c r="G510" t="s">
        <v>173</v>
      </c>
      <c r="H510">
        <v>70223190</v>
      </c>
      <c r="I510" t="s">
        <v>330</v>
      </c>
      <c r="J510">
        <v>9</v>
      </c>
      <c r="K510">
        <v>4834.71</v>
      </c>
    </row>
    <row r="511" spans="1:11" x14ac:dyDescent="0.3">
      <c r="A511">
        <v>2026</v>
      </c>
      <c r="B511">
        <v>1</v>
      </c>
      <c r="C511" t="s">
        <v>291</v>
      </c>
      <c r="D511" t="s">
        <v>292</v>
      </c>
      <c r="E511" t="str">
        <f>TEXT(4603807000170,"00000000000000")</f>
        <v>04603807000170</v>
      </c>
      <c r="F511" t="s">
        <v>318</v>
      </c>
      <c r="G511" t="s">
        <v>173</v>
      </c>
      <c r="H511">
        <v>70223246</v>
      </c>
      <c r="I511" t="s">
        <v>331</v>
      </c>
      <c r="J511">
        <v>20</v>
      </c>
      <c r="K511">
        <v>21505.75</v>
      </c>
    </row>
    <row r="512" spans="1:11" x14ac:dyDescent="0.3">
      <c r="A512">
        <v>2026</v>
      </c>
      <c r="B512">
        <v>1</v>
      </c>
      <c r="C512" t="s">
        <v>291</v>
      </c>
      <c r="D512" t="s">
        <v>292</v>
      </c>
      <c r="E512" t="str">
        <f>TEXT(4603807000170,"00000000000000")</f>
        <v>04603807000170</v>
      </c>
      <c r="F512" t="s">
        <v>318</v>
      </c>
      <c r="G512" t="s">
        <v>173</v>
      </c>
      <c r="H512">
        <v>70223777</v>
      </c>
      <c r="I512" t="s">
        <v>332</v>
      </c>
      <c r="J512">
        <v>39</v>
      </c>
      <c r="K512">
        <v>1532.7</v>
      </c>
    </row>
    <row r="513" spans="1:11" x14ac:dyDescent="0.3">
      <c r="A513">
        <v>2026</v>
      </c>
      <c r="B513">
        <v>1</v>
      </c>
      <c r="C513" t="s">
        <v>291</v>
      </c>
      <c r="D513" t="s">
        <v>292</v>
      </c>
      <c r="E513" t="str">
        <f>TEXT(4603807000170,"00000000000000")</f>
        <v>04603807000170</v>
      </c>
      <c r="F513" t="s">
        <v>318</v>
      </c>
      <c r="G513" t="s">
        <v>173</v>
      </c>
      <c r="H513">
        <v>70705283</v>
      </c>
      <c r="I513" t="s">
        <v>333</v>
      </c>
      <c r="J513">
        <v>68</v>
      </c>
      <c r="K513">
        <v>87.72</v>
      </c>
    </row>
    <row r="514" spans="1:11" x14ac:dyDescent="0.3">
      <c r="A514">
        <v>2026</v>
      </c>
      <c r="B514">
        <v>1</v>
      </c>
      <c r="C514" t="s">
        <v>291</v>
      </c>
      <c r="D514" t="s">
        <v>292</v>
      </c>
      <c r="E514" t="str">
        <f>TEXT(4603807000170,"00000000000000")</f>
        <v>04603807000170</v>
      </c>
      <c r="F514" t="s">
        <v>318</v>
      </c>
      <c r="G514" t="s">
        <v>173</v>
      </c>
      <c r="H514">
        <v>70705305</v>
      </c>
      <c r="I514" t="s">
        <v>334</v>
      </c>
      <c r="J514">
        <v>25</v>
      </c>
      <c r="K514">
        <v>14.75</v>
      </c>
    </row>
    <row r="515" spans="1:11" x14ac:dyDescent="0.3">
      <c r="A515">
        <v>2026</v>
      </c>
      <c r="B515">
        <v>1</v>
      </c>
      <c r="C515" t="s">
        <v>291</v>
      </c>
      <c r="D515" t="s">
        <v>292</v>
      </c>
      <c r="E515" t="str">
        <f>TEXT(4603807000170,"00000000000000")</f>
        <v>04603807000170</v>
      </c>
      <c r="F515" t="s">
        <v>318</v>
      </c>
      <c r="G515" t="s">
        <v>173</v>
      </c>
      <c r="H515">
        <v>70705330</v>
      </c>
      <c r="I515" t="s">
        <v>335</v>
      </c>
      <c r="J515">
        <v>46</v>
      </c>
      <c r="K515">
        <v>42.32</v>
      </c>
    </row>
    <row r="516" spans="1:11" x14ac:dyDescent="0.3">
      <c r="A516">
        <v>2026</v>
      </c>
      <c r="B516">
        <v>1</v>
      </c>
      <c r="C516" t="s">
        <v>291</v>
      </c>
      <c r="D516" t="s">
        <v>292</v>
      </c>
      <c r="E516" t="str">
        <f>TEXT(4603807000170,"00000000000000")</f>
        <v>04603807000170</v>
      </c>
      <c r="F516" t="s">
        <v>318</v>
      </c>
      <c r="G516" t="s">
        <v>173</v>
      </c>
      <c r="H516">
        <v>70705356</v>
      </c>
      <c r="I516" t="s">
        <v>336</v>
      </c>
      <c r="J516">
        <v>56</v>
      </c>
      <c r="K516">
        <v>257.60000000000002</v>
      </c>
    </row>
    <row r="517" spans="1:11" x14ac:dyDescent="0.3">
      <c r="A517">
        <v>2026</v>
      </c>
      <c r="B517">
        <v>1</v>
      </c>
      <c r="C517" t="s">
        <v>291</v>
      </c>
      <c r="D517" t="s">
        <v>292</v>
      </c>
      <c r="E517" t="str">
        <f>TEXT(4603807000170,"00000000000000")</f>
        <v>04603807000170</v>
      </c>
      <c r="F517" t="s">
        <v>318</v>
      </c>
      <c r="G517" t="s">
        <v>173</v>
      </c>
      <c r="H517">
        <v>70852464</v>
      </c>
      <c r="I517" t="s">
        <v>337</v>
      </c>
      <c r="J517">
        <v>5</v>
      </c>
      <c r="K517">
        <v>4325</v>
      </c>
    </row>
    <row r="518" spans="1:11" x14ac:dyDescent="0.3">
      <c r="A518">
        <v>2026</v>
      </c>
      <c r="B518">
        <v>1</v>
      </c>
      <c r="C518" t="s">
        <v>291</v>
      </c>
      <c r="D518" t="s">
        <v>292</v>
      </c>
      <c r="E518" t="str">
        <f>TEXT(4603807000170,"00000000000000")</f>
        <v>04603807000170</v>
      </c>
      <c r="F518" t="s">
        <v>318</v>
      </c>
      <c r="G518" t="s">
        <v>173</v>
      </c>
      <c r="H518">
        <v>78209641</v>
      </c>
      <c r="I518" t="s">
        <v>338</v>
      </c>
      <c r="J518">
        <v>1</v>
      </c>
      <c r="K518">
        <v>367.52</v>
      </c>
    </row>
    <row r="519" spans="1:11" x14ac:dyDescent="0.3">
      <c r="A519">
        <v>2026</v>
      </c>
      <c r="B519">
        <v>1</v>
      </c>
      <c r="C519" t="s">
        <v>291</v>
      </c>
      <c r="D519" t="s">
        <v>292</v>
      </c>
      <c r="E519" t="str">
        <f>TEXT(4603807000170,"00000000000000")</f>
        <v>04603807000170</v>
      </c>
      <c r="F519" t="s">
        <v>318</v>
      </c>
      <c r="G519" t="s">
        <v>173</v>
      </c>
      <c r="H519">
        <v>78312558</v>
      </c>
      <c r="I519" t="s">
        <v>339</v>
      </c>
      <c r="J519">
        <v>4</v>
      </c>
      <c r="K519">
        <v>4818.74</v>
      </c>
    </row>
    <row r="520" spans="1:11" x14ac:dyDescent="0.3">
      <c r="A520">
        <v>2026</v>
      </c>
      <c r="B520">
        <v>1</v>
      </c>
      <c r="C520" t="s">
        <v>291</v>
      </c>
      <c r="D520" t="s">
        <v>292</v>
      </c>
      <c r="E520" t="str">
        <f>TEXT(4603807000170,"00000000000000")</f>
        <v>04603807000170</v>
      </c>
      <c r="F520" t="s">
        <v>318</v>
      </c>
      <c r="G520" t="s">
        <v>173</v>
      </c>
      <c r="H520">
        <v>78399998</v>
      </c>
      <c r="I520" t="s">
        <v>340</v>
      </c>
      <c r="J520">
        <v>7</v>
      </c>
      <c r="K520">
        <v>420</v>
      </c>
    </row>
    <row r="521" spans="1:11" x14ac:dyDescent="0.3">
      <c r="A521">
        <v>2026</v>
      </c>
      <c r="B521">
        <v>1</v>
      </c>
      <c r="C521" t="s">
        <v>291</v>
      </c>
      <c r="D521" t="s">
        <v>292</v>
      </c>
      <c r="E521" t="str">
        <f>TEXT(4603807000170,"00000000000000")</f>
        <v>04603807000170</v>
      </c>
      <c r="F521" t="s">
        <v>318</v>
      </c>
      <c r="G521" t="s">
        <v>204</v>
      </c>
      <c r="H521">
        <v>90030850</v>
      </c>
      <c r="I521" t="s">
        <v>341</v>
      </c>
      <c r="J521">
        <v>480</v>
      </c>
      <c r="K521">
        <v>480</v>
      </c>
    </row>
    <row r="522" spans="1:11" x14ac:dyDescent="0.3">
      <c r="A522">
        <v>2026</v>
      </c>
      <c r="B522">
        <v>1</v>
      </c>
      <c r="C522" t="s">
        <v>291</v>
      </c>
      <c r="D522" t="s">
        <v>292</v>
      </c>
      <c r="E522" t="str">
        <f>TEXT(4603807000170,"00000000000000")</f>
        <v>04603807000170</v>
      </c>
      <c r="F522" t="s">
        <v>318</v>
      </c>
      <c r="G522" t="s">
        <v>204</v>
      </c>
      <c r="H522">
        <v>90045742</v>
      </c>
      <c r="I522" t="s">
        <v>342</v>
      </c>
      <c r="J522">
        <v>29</v>
      </c>
      <c r="K522">
        <v>832.01</v>
      </c>
    </row>
    <row r="523" spans="1:11" x14ac:dyDescent="0.3">
      <c r="A523">
        <v>2026</v>
      </c>
      <c r="B523">
        <v>1</v>
      </c>
      <c r="C523" t="s">
        <v>291</v>
      </c>
      <c r="D523" t="s">
        <v>292</v>
      </c>
      <c r="E523" t="str">
        <f>TEXT(4603807000170,"00000000000000")</f>
        <v>04603807000170</v>
      </c>
      <c r="F523" t="s">
        <v>318</v>
      </c>
      <c r="G523" t="s">
        <v>204</v>
      </c>
      <c r="H523">
        <v>90046501</v>
      </c>
      <c r="I523" t="s">
        <v>343</v>
      </c>
      <c r="J523">
        <v>1</v>
      </c>
      <c r="K523">
        <v>12.58</v>
      </c>
    </row>
    <row r="524" spans="1:11" x14ac:dyDescent="0.3">
      <c r="A524">
        <v>2026</v>
      </c>
      <c r="B524">
        <v>1</v>
      </c>
      <c r="C524" t="s">
        <v>291</v>
      </c>
      <c r="D524" t="s">
        <v>292</v>
      </c>
      <c r="E524" t="str">
        <f>TEXT(4603807000170,"00000000000000")</f>
        <v>04603807000170</v>
      </c>
      <c r="F524" t="s">
        <v>318</v>
      </c>
      <c r="G524" t="s">
        <v>204</v>
      </c>
      <c r="H524">
        <v>90068688</v>
      </c>
      <c r="I524" t="s">
        <v>344</v>
      </c>
      <c r="J524">
        <v>3400</v>
      </c>
      <c r="K524">
        <v>1428</v>
      </c>
    </row>
    <row r="525" spans="1:11" x14ac:dyDescent="0.3">
      <c r="A525">
        <v>2026</v>
      </c>
      <c r="B525">
        <v>1</v>
      </c>
      <c r="C525" t="s">
        <v>291</v>
      </c>
      <c r="D525" t="s">
        <v>292</v>
      </c>
      <c r="E525" t="str">
        <f>TEXT(4603807000170,"00000000000000")</f>
        <v>04603807000170</v>
      </c>
      <c r="F525" t="s">
        <v>318</v>
      </c>
      <c r="G525" t="s">
        <v>204</v>
      </c>
      <c r="H525">
        <v>90068742</v>
      </c>
      <c r="I525" t="s">
        <v>345</v>
      </c>
      <c r="J525">
        <v>3171</v>
      </c>
      <c r="K525">
        <v>3344.36</v>
      </c>
    </row>
    <row r="526" spans="1:11" x14ac:dyDescent="0.3">
      <c r="A526">
        <v>2026</v>
      </c>
      <c r="B526">
        <v>1</v>
      </c>
      <c r="C526" t="s">
        <v>291</v>
      </c>
      <c r="D526" t="s">
        <v>292</v>
      </c>
      <c r="E526" t="str">
        <f>TEXT(4603807000170,"00000000000000")</f>
        <v>04603807000170</v>
      </c>
      <c r="F526" t="s">
        <v>318</v>
      </c>
      <c r="G526" t="s">
        <v>204</v>
      </c>
      <c r="H526">
        <v>90123093</v>
      </c>
      <c r="I526" t="s">
        <v>346</v>
      </c>
      <c r="J526">
        <v>34</v>
      </c>
      <c r="K526">
        <v>316.2</v>
      </c>
    </row>
    <row r="527" spans="1:11" x14ac:dyDescent="0.3">
      <c r="A527">
        <v>2026</v>
      </c>
      <c r="B527">
        <v>1</v>
      </c>
      <c r="C527" t="s">
        <v>291</v>
      </c>
      <c r="D527" t="s">
        <v>292</v>
      </c>
      <c r="E527" t="str">
        <f>TEXT(4603807000170,"00000000000000")</f>
        <v>04603807000170</v>
      </c>
      <c r="F527" t="s">
        <v>318</v>
      </c>
      <c r="G527" t="s">
        <v>204</v>
      </c>
      <c r="H527">
        <v>90123107</v>
      </c>
      <c r="I527" t="s">
        <v>347</v>
      </c>
      <c r="J527">
        <v>20</v>
      </c>
      <c r="K527">
        <v>155</v>
      </c>
    </row>
    <row r="528" spans="1:11" x14ac:dyDescent="0.3">
      <c r="A528">
        <v>2026</v>
      </c>
      <c r="B528">
        <v>1</v>
      </c>
      <c r="C528" t="s">
        <v>291</v>
      </c>
      <c r="D528" t="s">
        <v>292</v>
      </c>
      <c r="E528" t="str">
        <f>TEXT(4603807000170,"00000000000000")</f>
        <v>04603807000170</v>
      </c>
      <c r="F528" t="s">
        <v>318</v>
      </c>
      <c r="G528" t="s">
        <v>204</v>
      </c>
      <c r="H528">
        <v>90123115</v>
      </c>
      <c r="I528" t="s">
        <v>348</v>
      </c>
      <c r="J528">
        <v>83</v>
      </c>
      <c r="K528">
        <v>746.17</v>
      </c>
    </row>
    <row r="529" spans="1:11" x14ac:dyDescent="0.3">
      <c r="A529">
        <v>2026</v>
      </c>
      <c r="B529">
        <v>1</v>
      </c>
      <c r="C529" t="s">
        <v>291</v>
      </c>
      <c r="D529" t="s">
        <v>292</v>
      </c>
      <c r="E529" t="str">
        <f>TEXT(4603807000170,"00000000000000")</f>
        <v>04603807000170</v>
      </c>
      <c r="F529" t="s">
        <v>318</v>
      </c>
      <c r="G529" t="s">
        <v>204</v>
      </c>
      <c r="H529">
        <v>90123190</v>
      </c>
      <c r="I529" t="s">
        <v>349</v>
      </c>
      <c r="J529">
        <v>7</v>
      </c>
      <c r="K529">
        <v>63.56</v>
      </c>
    </row>
    <row r="530" spans="1:11" x14ac:dyDescent="0.3">
      <c r="A530">
        <v>2026</v>
      </c>
      <c r="B530">
        <v>1</v>
      </c>
      <c r="C530" t="s">
        <v>291</v>
      </c>
      <c r="D530" t="s">
        <v>292</v>
      </c>
      <c r="E530" t="str">
        <f>TEXT(4603807000170,"00000000000000")</f>
        <v>04603807000170</v>
      </c>
      <c r="F530" t="s">
        <v>318</v>
      </c>
      <c r="G530" t="s">
        <v>204</v>
      </c>
      <c r="H530">
        <v>90123204</v>
      </c>
      <c r="I530" t="s">
        <v>350</v>
      </c>
      <c r="J530">
        <v>6</v>
      </c>
      <c r="K530">
        <v>54.48</v>
      </c>
    </row>
    <row r="531" spans="1:11" x14ac:dyDescent="0.3">
      <c r="A531">
        <v>2026</v>
      </c>
      <c r="B531">
        <v>1</v>
      </c>
      <c r="C531" t="s">
        <v>291</v>
      </c>
      <c r="D531" t="s">
        <v>292</v>
      </c>
      <c r="E531" t="str">
        <f>TEXT(4603807000170,"00000000000000")</f>
        <v>04603807000170</v>
      </c>
      <c r="F531" t="s">
        <v>318</v>
      </c>
      <c r="G531" t="s">
        <v>204</v>
      </c>
      <c r="H531">
        <v>90123220</v>
      </c>
      <c r="I531" t="s">
        <v>351</v>
      </c>
      <c r="J531">
        <v>10</v>
      </c>
      <c r="K531">
        <v>101.5</v>
      </c>
    </row>
    <row r="532" spans="1:11" x14ac:dyDescent="0.3">
      <c r="A532">
        <v>2026</v>
      </c>
      <c r="B532">
        <v>1</v>
      </c>
      <c r="C532" t="s">
        <v>291</v>
      </c>
      <c r="D532" t="s">
        <v>292</v>
      </c>
      <c r="E532" t="str">
        <f>TEXT(4603807000170,"00000000000000")</f>
        <v>04603807000170</v>
      </c>
      <c r="F532" t="s">
        <v>318</v>
      </c>
      <c r="G532" t="s">
        <v>204</v>
      </c>
      <c r="H532">
        <v>90136675</v>
      </c>
      <c r="I532" t="s">
        <v>352</v>
      </c>
      <c r="J532">
        <v>7</v>
      </c>
      <c r="K532">
        <v>20.3</v>
      </c>
    </row>
    <row r="533" spans="1:11" x14ac:dyDescent="0.3">
      <c r="A533">
        <v>2026</v>
      </c>
      <c r="B533">
        <v>1</v>
      </c>
      <c r="C533" t="s">
        <v>291</v>
      </c>
      <c r="D533" t="s">
        <v>292</v>
      </c>
      <c r="E533" t="str">
        <f>TEXT(4603807000170,"00000000000000")</f>
        <v>04603807000170</v>
      </c>
      <c r="F533" t="s">
        <v>318</v>
      </c>
      <c r="G533" t="s">
        <v>204</v>
      </c>
      <c r="H533">
        <v>90144384</v>
      </c>
      <c r="I533" t="s">
        <v>353</v>
      </c>
      <c r="J533">
        <v>79</v>
      </c>
      <c r="K533">
        <v>429.6</v>
      </c>
    </row>
    <row r="534" spans="1:11" x14ac:dyDescent="0.3">
      <c r="A534">
        <v>2026</v>
      </c>
      <c r="B534">
        <v>1</v>
      </c>
      <c r="C534" t="s">
        <v>291</v>
      </c>
      <c r="D534" t="s">
        <v>292</v>
      </c>
      <c r="E534" t="str">
        <f>TEXT(4603807000170,"00000000000000")</f>
        <v>04603807000170</v>
      </c>
      <c r="F534" t="s">
        <v>318</v>
      </c>
      <c r="G534" t="s">
        <v>204</v>
      </c>
      <c r="H534">
        <v>90144457</v>
      </c>
      <c r="I534" t="s">
        <v>354</v>
      </c>
      <c r="J534">
        <v>5124</v>
      </c>
      <c r="K534">
        <v>409.92</v>
      </c>
    </row>
    <row r="535" spans="1:11" x14ac:dyDescent="0.3">
      <c r="A535">
        <v>2026</v>
      </c>
      <c r="B535">
        <v>1</v>
      </c>
      <c r="C535" t="s">
        <v>291</v>
      </c>
      <c r="D535" t="s">
        <v>292</v>
      </c>
      <c r="E535" t="str">
        <f>TEXT(4603807000170,"00000000000000")</f>
        <v>04603807000170</v>
      </c>
      <c r="F535" t="s">
        <v>318</v>
      </c>
      <c r="G535" t="s">
        <v>204</v>
      </c>
      <c r="H535">
        <v>90144473</v>
      </c>
      <c r="I535" t="s">
        <v>355</v>
      </c>
      <c r="J535">
        <v>13204</v>
      </c>
      <c r="K535">
        <v>1056.32</v>
      </c>
    </row>
    <row r="536" spans="1:11" x14ac:dyDescent="0.3">
      <c r="A536">
        <v>2026</v>
      </c>
      <c r="B536">
        <v>1</v>
      </c>
      <c r="C536" t="s">
        <v>291</v>
      </c>
      <c r="D536" t="s">
        <v>292</v>
      </c>
      <c r="E536" t="str">
        <f>TEXT(4603807000170,"00000000000000")</f>
        <v>04603807000170</v>
      </c>
      <c r="F536" t="s">
        <v>318</v>
      </c>
      <c r="G536" t="s">
        <v>204</v>
      </c>
      <c r="H536">
        <v>90160266</v>
      </c>
      <c r="I536" t="s">
        <v>356</v>
      </c>
      <c r="J536">
        <v>669</v>
      </c>
      <c r="K536">
        <v>40367.5</v>
      </c>
    </row>
    <row r="537" spans="1:11" x14ac:dyDescent="0.3">
      <c r="A537">
        <v>2026</v>
      </c>
      <c r="B537">
        <v>1</v>
      </c>
      <c r="C537" t="s">
        <v>291</v>
      </c>
      <c r="D537" t="s">
        <v>292</v>
      </c>
      <c r="E537" t="str">
        <f>TEXT(4603807000170,"00000000000000")</f>
        <v>04603807000170</v>
      </c>
      <c r="F537" t="s">
        <v>318</v>
      </c>
      <c r="G537" t="s">
        <v>204</v>
      </c>
      <c r="H537">
        <v>90184114</v>
      </c>
      <c r="I537" t="s">
        <v>357</v>
      </c>
      <c r="J537">
        <v>1379</v>
      </c>
      <c r="K537">
        <v>35714.400000000001</v>
      </c>
    </row>
    <row r="538" spans="1:11" x14ac:dyDescent="0.3">
      <c r="A538">
        <v>2026</v>
      </c>
      <c r="B538">
        <v>1</v>
      </c>
      <c r="C538" t="s">
        <v>291</v>
      </c>
      <c r="D538" t="s">
        <v>292</v>
      </c>
      <c r="E538" t="str">
        <f>TEXT(4603807000170,"00000000000000")</f>
        <v>04603807000170</v>
      </c>
      <c r="F538" t="s">
        <v>318</v>
      </c>
      <c r="G538" t="s">
        <v>204</v>
      </c>
      <c r="H538">
        <v>90184440</v>
      </c>
      <c r="I538" t="s">
        <v>358</v>
      </c>
      <c r="J538">
        <v>437</v>
      </c>
      <c r="K538">
        <v>19250.009999999998</v>
      </c>
    </row>
    <row r="539" spans="1:11" x14ac:dyDescent="0.3">
      <c r="A539">
        <v>2026</v>
      </c>
      <c r="B539">
        <v>1</v>
      </c>
      <c r="C539" t="s">
        <v>291</v>
      </c>
      <c r="D539" t="s">
        <v>292</v>
      </c>
      <c r="E539" t="str">
        <f>TEXT(4603807000170,"00000000000000")</f>
        <v>04603807000170</v>
      </c>
      <c r="F539" t="s">
        <v>318</v>
      </c>
      <c r="G539" t="s">
        <v>204</v>
      </c>
      <c r="H539">
        <v>90210514</v>
      </c>
      <c r="I539" t="s">
        <v>359</v>
      </c>
      <c r="J539">
        <v>42</v>
      </c>
      <c r="K539">
        <v>326.01</v>
      </c>
    </row>
    <row r="540" spans="1:11" x14ac:dyDescent="0.3">
      <c r="A540">
        <v>2026</v>
      </c>
      <c r="B540">
        <v>1</v>
      </c>
      <c r="C540" t="s">
        <v>291</v>
      </c>
      <c r="D540" t="s">
        <v>292</v>
      </c>
      <c r="E540" t="str">
        <f>TEXT(4603807000170,"00000000000000")</f>
        <v>04603807000170</v>
      </c>
      <c r="F540" t="s">
        <v>318</v>
      </c>
      <c r="G540" t="s">
        <v>204</v>
      </c>
      <c r="H540">
        <v>90219325</v>
      </c>
      <c r="I540" t="s">
        <v>360</v>
      </c>
      <c r="J540">
        <v>14</v>
      </c>
      <c r="K540">
        <v>24028.76</v>
      </c>
    </row>
    <row r="541" spans="1:11" x14ac:dyDescent="0.3">
      <c r="A541">
        <v>2026</v>
      </c>
      <c r="B541">
        <v>1</v>
      </c>
      <c r="C541" t="s">
        <v>291</v>
      </c>
      <c r="D541" t="s">
        <v>292</v>
      </c>
      <c r="E541" t="str">
        <f>TEXT(4603807000170,"00000000000000")</f>
        <v>04603807000170</v>
      </c>
      <c r="F541" t="s">
        <v>318</v>
      </c>
      <c r="G541" t="s">
        <v>204</v>
      </c>
      <c r="H541">
        <v>90255224</v>
      </c>
      <c r="I541" t="s">
        <v>361</v>
      </c>
      <c r="J541">
        <v>51</v>
      </c>
      <c r="K541">
        <v>23559.84</v>
      </c>
    </row>
    <row r="542" spans="1:11" x14ac:dyDescent="0.3">
      <c r="A542">
        <v>2026</v>
      </c>
      <c r="B542">
        <v>1</v>
      </c>
      <c r="C542" t="s">
        <v>291</v>
      </c>
      <c r="D542" t="s">
        <v>292</v>
      </c>
      <c r="E542" t="str">
        <f>TEXT(4603807000170,"00000000000000")</f>
        <v>04603807000170</v>
      </c>
      <c r="F542" t="s">
        <v>318</v>
      </c>
      <c r="G542" t="s">
        <v>204</v>
      </c>
      <c r="H542">
        <v>90265700</v>
      </c>
      <c r="I542" t="s">
        <v>362</v>
      </c>
      <c r="J542">
        <v>818</v>
      </c>
      <c r="K542">
        <v>16440.2</v>
      </c>
    </row>
    <row r="543" spans="1:11" x14ac:dyDescent="0.3">
      <c r="A543">
        <v>2026</v>
      </c>
      <c r="B543">
        <v>1</v>
      </c>
      <c r="C543" t="s">
        <v>291</v>
      </c>
      <c r="D543" t="s">
        <v>292</v>
      </c>
      <c r="E543" t="str">
        <f>TEXT(4603807000170,"00000000000000")</f>
        <v>04603807000170</v>
      </c>
      <c r="F543" t="s">
        <v>318</v>
      </c>
      <c r="G543" t="s">
        <v>204</v>
      </c>
      <c r="H543">
        <v>90278690</v>
      </c>
      <c r="I543" t="s">
        <v>363</v>
      </c>
      <c r="J543">
        <v>2</v>
      </c>
      <c r="K543">
        <v>1157.5999999999999</v>
      </c>
    </row>
    <row r="544" spans="1:11" x14ac:dyDescent="0.3">
      <c r="A544">
        <v>2026</v>
      </c>
      <c r="B544">
        <v>1</v>
      </c>
      <c r="C544" t="s">
        <v>291</v>
      </c>
      <c r="D544" t="s">
        <v>292</v>
      </c>
      <c r="E544" t="str">
        <f>TEXT(4603807000170,"00000000000000")</f>
        <v>04603807000170</v>
      </c>
      <c r="F544" t="s">
        <v>318</v>
      </c>
      <c r="G544" t="s">
        <v>204</v>
      </c>
      <c r="H544">
        <v>90289870</v>
      </c>
      <c r="I544" t="s">
        <v>364</v>
      </c>
      <c r="J544">
        <v>6</v>
      </c>
      <c r="K544">
        <v>5.16</v>
      </c>
    </row>
    <row r="545" spans="1:11" x14ac:dyDescent="0.3">
      <c r="A545">
        <v>2026</v>
      </c>
      <c r="B545">
        <v>1</v>
      </c>
      <c r="C545" t="s">
        <v>291</v>
      </c>
      <c r="D545" t="s">
        <v>292</v>
      </c>
      <c r="E545" t="str">
        <f>TEXT(4603807000170,"00000000000000")</f>
        <v>04603807000170</v>
      </c>
      <c r="F545" t="s">
        <v>318</v>
      </c>
      <c r="G545" t="s">
        <v>204</v>
      </c>
      <c r="H545">
        <v>90294432</v>
      </c>
      <c r="I545" t="s">
        <v>365</v>
      </c>
      <c r="J545">
        <v>838</v>
      </c>
      <c r="K545">
        <v>34696.82</v>
      </c>
    </row>
    <row r="546" spans="1:11" x14ac:dyDescent="0.3">
      <c r="A546">
        <v>2026</v>
      </c>
      <c r="B546">
        <v>1</v>
      </c>
      <c r="C546" t="s">
        <v>291</v>
      </c>
      <c r="D546" t="s">
        <v>292</v>
      </c>
      <c r="E546" t="str">
        <f>TEXT(4603807000170,"00000000000000")</f>
        <v>04603807000170</v>
      </c>
      <c r="F546" t="s">
        <v>318</v>
      </c>
      <c r="G546" t="s">
        <v>204</v>
      </c>
      <c r="H546">
        <v>90302842</v>
      </c>
      <c r="I546" t="s">
        <v>366</v>
      </c>
      <c r="J546">
        <v>2</v>
      </c>
      <c r="K546">
        <v>135.91999999999999</v>
      </c>
    </row>
    <row r="547" spans="1:11" x14ac:dyDescent="0.3">
      <c r="A547">
        <v>2026</v>
      </c>
      <c r="B547">
        <v>1</v>
      </c>
      <c r="C547" t="s">
        <v>291</v>
      </c>
      <c r="D547" t="s">
        <v>292</v>
      </c>
      <c r="E547" t="str">
        <f>TEXT(4603807000170,"00000000000000")</f>
        <v>04603807000170</v>
      </c>
      <c r="F547" t="s">
        <v>318</v>
      </c>
      <c r="G547" t="s">
        <v>204</v>
      </c>
      <c r="H547">
        <v>90320603</v>
      </c>
      <c r="I547" t="s">
        <v>367</v>
      </c>
      <c r="J547">
        <v>2</v>
      </c>
      <c r="K547">
        <v>21101.32</v>
      </c>
    </row>
    <row r="548" spans="1:11" x14ac:dyDescent="0.3">
      <c r="A548">
        <v>2026</v>
      </c>
      <c r="B548">
        <v>1</v>
      </c>
      <c r="C548" t="s">
        <v>291</v>
      </c>
      <c r="D548" t="s">
        <v>292</v>
      </c>
      <c r="E548" t="str">
        <f>TEXT(4603807000170,"00000000000000")</f>
        <v>04603807000170</v>
      </c>
      <c r="F548" t="s">
        <v>318</v>
      </c>
      <c r="G548" t="s">
        <v>204</v>
      </c>
      <c r="H548">
        <v>90321766</v>
      </c>
      <c r="I548" t="s">
        <v>368</v>
      </c>
      <c r="J548">
        <v>269</v>
      </c>
      <c r="K548">
        <v>28693.3</v>
      </c>
    </row>
    <row r="549" spans="1:11" x14ac:dyDescent="0.3">
      <c r="A549">
        <v>2026</v>
      </c>
      <c r="B549">
        <v>1</v>
      </c>
      <c r="C549" t="s">
        <v>291</v>
      </c>
      <c r="D549" t="s">
        <v>292</v>
      </c>
      <c r="E549" t="str">
        <f>TEXT(4603807000170,"00000000000000")</f>
        <v>04603807000170</v>
      </c>
      <c r="F549" t="s">
        <v>318</v>
      </c>
      <c r="G549" t="s">
        <v>204</v>
      </c>
      <c r="H549">
        <v>90338227</v>
      </c>
      <c r="I549" t="s">
        <v>369</v>
      </c>
      <c r="J549">
        <v>18</v>
      </c>
      <c r="K549">
        <v>1996.92</v>
      </c>
    </row>
    <row r="550" spans="1:11" x14ac:dyDescent="0.3">
      <c r="A550">
        <v>2026</v>
      </c>
      <c r="B550">
        <v>1</v>
      </c>
      <c r="C550" t="s">
        <v>291</v>
      </c>
      <c r="D550" t="s">
        <v>292</v>
      </c>
      <c r="E550" t="str">
        <f>TEXT(4603807000170,"00000000000000")</f>
        <v>04603807000170</v>
      </c>
      <c r="F550" t="s">
        <v>318</v>
      </c>
      <c r="G550" t="s">
        <v>204</v>
      </c>
      <c r="H550">
        <v>90341988</v>
      </c>
      <c r="I550" t="s">
        <v>370</v>
      </c>
      <c r="J550">
        <v>60</v>
      </c>
      <c r="K550">
        <v>31204.2</v>
      </c>
    </row>
    <row r="551" spans="1:11" x14ac:dyDescent="0.3">
      <c r="A551">
        <v>2026</v>
      </c>
      <c r="B551">
        <v>1</v>
      </c>
      <c r="C551" t="s">
        <v>291</v>
      </c>
      <c r="D551" t="s">
        <v>292</v>
      </c>
      <c r="E551" t="str">
        <f>TEXT(4603807000170,"00000000000000")</f>
        <v>04603807000170</v>
      </c>
      <c r="F551" t="s">
        <v>318</v>
      </c>
      <c r="G551" t="s">
        <v>204</v>
      </c>
      <c r="H551">
        <v>90348737</v>
      </c>
      <c r="I551" t="s">
        <v>371</v>
      </c>
      <c r="J551">
        <v>788</v>
      </c>
      <c r="K551">
        <v>83571.839999999997</v>
      </c>
    </row>
    <row r="552" spans="1:11" x14ac:dyDescent="0.3">
      <c r="A552">
        <v>2026</v>
      </c>
      <c r="B552">
        <v>1</v>
      </c>
      <c r="C552" t="s">
        <v>291</v>
      </c>
      <c r="D552" t="s">
        <v>292</v>
      </c>
      <c r="E552" t="str">
        <f>TEXT(4603807000170,"00000000000000")</f>
        <v>04603807000170</v>
      </c>
      <c r="F552" t="s">
        <v>318</v>
      </c>
      <c r="G552" t="s">
        <v>204</v>
      </c>
      <c r="H552">
        <v>90351231</v>
      </c>
      <c r="I552" t="s">
        <v>372</v>
      </c>
      <c r="J552">
        <v>2</v>
      </c>
      <c r="K552">
        <v>1329.18</v>
      </c>
    </row>
    <row r="553" spans="1:11" x14ac:dyDescent="0.3">
      <c r="A553">
        <v>2026</v>
      </c>
      <c r="B553">
        <v>1</v>
      </c>
      <c r="C553" t="s">
        <v>291</v>
      </c>
      <c r="D553" t="s">
        <v>292</v>
      </c>
      <c r="E553" t="str">
        <f>TEXT(4603807000170,"00000000000000")</f>
        <v>04603807000170</v>
      </c>
      <c r="F553" t="s">
        <v>318</v>
      </c>
      <c r="G553" t="s">
        <v>204</v>
      </c>
      <c r="H553">
        <v>90359550</v>
      </c>
      <c r="I553" t="s">
        <v>373</v>
      </c>
      <c r="J553">
        <v>491</v>
      </c>
      <c r="K553">
        <v>61389.9</v>
      </c>
    </row>
    <row r="554" spans="1:11" x14ac:dyDescent="0.3">
      <c r="A554">
        <v>2026</v>
      </c>
      <c r="B554">
        <v>1</v>
      </c>
      <c r="C554" t="s">
        <v>291</v>
      </c>
      <c r="D554" t="s">
        <v>292</v>
      </c>
      <c r="E554" t="str">
        <f>TEXT(4603807000170,"00000000000000")</f>
        <v>04603807000170</v>
      </c>
      <c r="F554" t="s">
        <v>318</v>
      </c>
      <c r="G554" t="s">
        <v>204</v>
      </c>
      <c r="H554">
        <v>90372956</v>
      </c>
      <c r="I554" t="s">
        <v>374</v>
      </c>
      <c r="J554">
        <v>29</v>
      </c>
      <c r="K554">
        <v>37239.300000000003</v>
      </c>
    </row>
    <row r="555" spans="1:11" x14ac:dyDescent="0.3">
      <c r="A555">
        <v>2026</v>
      </c>
      <c r="B555">
        <v>1</v>
      </c>
      <c r="C555" t="s">
        <v>291</v>
      </c>
      <c r="D555" t="s">
        <v>292</v>
      </c>
      <c r="E555" t="str">
        <f>TEXT(4603807000170,"00000000000000")</f>
        <v>04603807000170</v>
      </c>
      <c r="F555" t="s">
        <v>318</v>
      </c>
      <c r="G555" t="s">
        <v>204</v>
      </c>
      <c r="H555">
        <v>90380720</v>
      </c>
      <c r="I555" t="s">
        <v>375</v>
      </c>
      <c r="J555">
        <v>8853</v>
      </c>
      <c r="K555">
        <v>209893.4</v>
      </c>
    </row>
    <row r="556" spans="1:11" x14ac:dyDescent="0.3">
      <c r="A556">
        <v>2026</v>
      </c>
      <c r="B556">
        <v>1</v>
      </c>
      <c r="C556" t="s">
        <v>291</v>
      </c>
      <c r="D556" t="s">
        <v>292</v>
      </c>
      <c r="E556" t="str">
        <f>TEXT(4603807000170,"00000000000000")</f>
        <v>04603807000170</v>
      </c>
      <c r="F556" t="s">
        <v>318</v>
      </c>
      <c r="G556" t="s">
        <v>204</v>
      </c>
      <c r="H556">
        <v>90399412</v>
      </c>
      <c r="I556" t="s">
        <v>376</v>
      </c>
      <c r="J556">
        <v>8</v>
      </c>
      <c r="K556">
        <v>100.64</v>
      </c>
    </row>
    <row r="557" spans="1:11" x14ac:dyDescent="0.3">
      <c r="A557">
        <v>2026</v>
      </c>
      <c r="B557">
        <v>1</v>
      </c>
      <c r="C557" t="s">
        <v>291</v>
      </c>
      <c r="D557" t="s">
        <v>292</v>
      </c>
      <c r="E557" t="str">
        <f>TEXT(4603807000170,"00000000000000")</f>
        <v>04603807000170</v>
      </c>
      <c r="F557" t="s">
        <v>318</v>
      </c>
      <c r="G557" t="s">
        <v>204</v>
      </c>
      <c r="H557">
        <v>90403630</v>
      </c>
      <c r="I557" t="s">
        <v>377</v>
      </c>
      <c r="J557">
        <v>600</v>
      </c>
      <c r="K557">
        <v>68058</v>
      </c>
    </row>
    <row r="558" spans="1:11" x14ac:dyDescent="0.3">
      <c r="A558">
        <v>2026</v>
      </c>
      <c r="B558">
        <v>1</v>
      </c>
      <c r="C558" t="s">
        <v>291</v>
      </c>
      <c r="D558" t="s">
        <v>292</v>
      </c>
      <c r="E558" t="str">
        <f>TEXT(4603807000170,"00000000000000")</f>
        <v>04603807000170</v>
      </c>
      <c r="F558" t="s">
        <v>318</v>
      </c>
      <c r="G558" t="s">
        <v>204</v>
      </c>
      <c r="H558">
        <v>90406907</v>
      </c>
      <c r="I558" t="s">
        <v>378</v>
      </c>
      <c r="J558">
        <v>437</v>
      </c>
      <c r="K558">
        <v>19250.099999999999</v>
      </c>
    </row>
    <row r="559" spans="1:11" x14ac:dyDescent="0.3">
      <c r="A559">
        <v>2026</v>
      </c>
      <c r="B559">
        <v>1</v>
      </c>
      <c r="C559" t="s">
        <v>291</v>
      </c>
      <c r="D559" t="s">
        <v>292</v>
      </c>
      <c r="E559" t="str">
        <f>TEXT(4603807000170,"00000000000000")</f>
        <v>04603807000170</v>
      </c>
      <c r="F559" t="s">
        <v>318</v>
      </c>
      <c r="G559" t="s">
        <v>204</v>
      </c>
      <c r="H559">
        <v>90409795</v>
      </c>
      <c r="I559" t="s">
        <v>379</v>
      </c>
      <c r="J559">
        <v>126</v>
      </c>
      <c r="K559">
        <v>38440.080000000002</v>
      </c>
    </row>
    <row r="560" spans="1:11" x14ac:dyDescent="0.3">
      <c r="A560">
        <v>2026</v>
      </c>
      <c r="B560">
        <v>1</v>
      </c>
      <c r="C560" t="s">
        <v>291</v>
      </c>
      <c r="D560" t="s">
        <v>292</v>
      </c>
      <c r="E560" t="str">
        <f>TEXT(4603807000170,"00000000000000")</f>
        <v>04603807000170</v>
      </c>
      <c r="F560" t="s">
        <v>318</v>
      </c>
      <c r="G560" t="s">
        <v>204</v>
      </c>
      <c r="H560">
        <v>90411919</v>
      </c>
      <c r="I560" t="s">
        <v>380</v>
      </c>
      <c r="J560">
        <v>1199</v>
      </c>
      <c r="K560">
        <v>39297.129999999997</v>
      </c>
    </row>
    <row r="561" spans="1:11" x14ac:dyDescent="0.3">
      <c r="A561">
        <v>2026</v>
      </c>
      <c r="B561">
        <v>1</v>
      </c>
      <c r="C561" t="s">
        <v>291</v>
      </c>
      <c r="D561" t="s">
        <v>292</v>
      </c>
      <c r="E561" t="str">
        <f>TEXT(4603807000170,"00000000000000")</f>
        <v>04603807000170</v>
      </c>
      <c r="F561" t="s">
        <v>318</v>
      </c>
      <c r="G561" t="s">
        <v>204</v>
      </c>
      <c r="H561">
        <v>90413652</v>
      </c>
      <c r="I561" t="s">
        <v>381</v>
      </c>
      <c r="J561">
        <v>357</v>
      </c>
      <c r="K561">
        <v>24668.85</v>
      </c>
    </row>
    <row r="562" spans="1:11" x14ac:dyDescent="0.3">
      <c r="A562">
        <v>2026</v>
      </c>
      <c r="B562">
        <v>1</v>
      </c>
      <c r="C562" t="s">
        <v>291</v>
      </c>
      <c r="D562" t="s">
        <v>292</v>
      </c>
      <c r="E562" t="str">
        <f>TEXT(4603807000170,"00000000000000")</f>
        <v>04603807000170</v>
      </c>
      <c r="F562" t="s">
        <v>318</v>
      </c>
      <c r="G562" t="s">
        <v>204</v>
      </c>
      <c r="H562">
        <v>90421590</v>
      </c>
      <c r="I562" t="s">
        <v>382</v>
      </c>
      <c r="J562">
        <v>119</v>
      </c>
      <c r="K562">
        <v>53188.94</v>
      </c>
    </row>
    <row r="563" spans="1:11" x14ac:dyDescent="0.3">
      <c r="A563">
        <v>2026</v>
      </c>
      <c r="B563">
        <v>1</v>
      </c>
      <c r="C563" t="s">
        <v>291</v>
      </c>
      <c r="D563" t="s">
        <v>292</v>
      </c>
      <c r="E563" t="str">
        <f>TEXT(4603807000170,"00000000000000")</f>
        <v>04603807000170</v>
      </c>
      <c r="F563" t="s">
        <v>318</v>
      </c>
      <c r="G563" t="s">
        <v>204</v>
      </c>
      <c r="H563">
        <v>90423860</v>
      </c>
      <c r="I563" t="s">
        <v>383</v>
      </c>
      <c r="J563">
        <v>28</v>
      </c>
      <c r="K563">
        <v>9954.84</v>
      </c>
    </row>
    <row r="564" spans="1:11" x14ac:dyDescent="0.3">
      <c r="A564">
        <v>2026</v>
      </c>
      <c r="B564">
        <v>1</v>
      </c>
      <c r="C564" t="s">
        <v>291</v>
      </c>
      <c r="D564" t="s">
        <v>292</v>
      </c>
      <c r="E564" t="str">
        <f>TEXT(4603807000170,"00000000000000")</f>
        <v>04603807000170</v>
      </c>
      <c r="F564" t="s">
        <v>318</v>
      </c>
      <c r="G564" t="s">
        <v>204</v>
      </c>
      <c r="H564">
        <v>90424174</v>
      </c>
      <c r="I564" t="s">
        <v>384</v>
      </c>
      <c r="J564">
        <v>112</v>
      </c>
      <c r="K564">
        <v>33570.879999999997</v>
      </c>
    </row>
    <row r="565" spans="1:11" x14ac:dyDescent="0.3">
      <c r="A565">
        <v>2026</v>
      </c>
      <c r="B565">
        <v>1</v>
      </c>
      <c r="C565" t="s">
        <v>291</v>
      </c>
      <c r="D565" t="s">
        <v>292</v>
      </c>
      <c r="E565" t="str">
        <f>TEXT(4603807000170,"00000000000000")</f>
        <v>04603807000170</v>
      </c>
      <c r="F565" t="s">
        <v>318</v>
      </c>
      <c r="G565" t="s">
        <v>204</v>
      </c>
      <c r="H565">
        <v>90429028</v>
      </c>
      <c r="I565" t="s">
        <v>385</v>
      </c>
      <c r="J565">
        <v>120</v>
      </c>
      <c r="K565">
        <v>2751.6</v>
      </c>
    </row>
    <row r="566" spans="1:11" x14ac:dyDescent="0.3">
      <c r="A566">
        <v>2026</v>
      </c>
      <c r="B566">
        <v>1</v>
      </c>
      <c r="C566" t="s">
        <v>291</v>
      </c>
      <c r="D566" t="s">
        <v>292</v>
      </c>
      <c r="E566" t="str">
        <f>TEXT(4603807000170,"00000000000000")</f>
        <v>04603807000170</v>
      </c>
      <c r="F566" t="s">
        <v>318</v>
      </c>
      <c r="G566" t="s">
        <v>204</v>
      </c>
      <c r="H566">
        <v>90435125</v>
      </c>
      <c r="I566" t="s">
        <v>386</v>
      </c>
      <c r="J566">
        <v>1</v>
      </c>
      <c r="K566">
        <v>1891.92</v>
      </c>
    </row>
    <row r="567" spans="1:11" x14ac:dyDescent="0.3">
      <c r="A567">
        <v>2026</v>
      </c>
      <c r="B567">
        <v>1</v>
      </c>
      <c r="C567" t="s">
        <v>291</v>
      </c>
      <c r="D567" t="s">
        <v>292</v>
      </c>
      <c r="E567" t="str">
        <f>TEXT(4603807000170,"00000000000000")</f>
        <v>04603807000170</v>
      </c>
      <c r="F567" t="s">
        <v>318</v>
      </c>
      <c r="G567" t="s">
        <v>204</v>
      </c>
      <c r="H567">
        <v>90443128</v>
      </c>
      <c r="I567" t="s">
        <v>387</v>
      </c>
      <c r="J567">
        <v>177</v>
      </c>
      <c r="K567">
        <v>50450.559999999998</v>
      </c>
    </row>
    <row r="568" spans="1:11" x14ac:dyDescent="0.3">
      <c r="A568">
        <v>2026</v>
      </c>
      <c r="B568">
        <v>1</v>
      </c>
      <c r="C568" t="s">
        <v>291</v>
      </c>
      <c r="D568" t="s">
        <v>292</v>
      </c>
      <c r="E568" t="str">
        <f>TEXT(4603807000170,"00000000000000")</f>
        <v>04603807000170</v>
      </c>
      <c r="F568" t="s">
        <v>318</v>
      </c>
      <c r="G568" t="s">
        <v>204</v>
      </c>
      <c r="H568">
        <v>90444086</v>
      </c>
      <c r="I568" t="s">
        <v>388</v>
      </c>
      <c r="J568">
        <v>786</v>
      </c>
      <c r="K568">
        <v>16440.43</v>
      </c>
    </row>
    <row r="569" spans="1:11" x14ac:dyDescent="0.3">
      <c r="A569">
        <v>2026</v>
      </c>
      <c r="B569">
        <v>1</v>
      </c>
      <c r="C569" t="s">
        <v>291</v>
      </c>
      <c r="D569" t="s">
        <v>292</v>
      </c>
      <c r="E569" t="str">
        <f>TEXT(4603807000170,"00000000000000")</f>
        <v>04603807000170</v>
      </c>
      <c r="F569" t="s">
        <v>318</v>
      </c>
      <c r="G569" t="s">
        <v>204</v>
      </c>
      <c r="H569">
        <v>90447735</v>
      </c>
      <c r="I569" t="s">
        <v>389</v>
      </c>
      <c r="J569">
        <v>2</v>
      </c>
      <c r="K569">
        <v>2.46</v>
      </c>
    </row>
    <row r="570" spans="1:11" x14ac:dyDescent="0.3">
      <c r="A570">
        <v>2026</v>
      </c>
      <c r="B570">
        <v>1</v>
      </c>
      <c r="C570" t="s">
        <v>291</v>
      </c>
      <c r="D570" t="s">
        <v>292</v>
      </c>
      <c r="E570" t="str">
        <f>TEXT(4603807000170,"00000000000000")</f>
        <v>04603807000170</v>
      </c>
      <c r="F570" t="s">
        <v>318</v>
      </c>
      <c r="G570" t="s">
        <v>204</v>
      </c>
      <c r="H570">
        <v>90456750</v>
      </c>
      <c r="I570" t="s">
        <v>390</v>
      </c>
      <c r="J570">
        <v>1</v>
      </c>
      <c r="K570">
        <v>1114.8499999999999</v>
      </c>
    </row>
    <row r="571" spans="1:11" x14ac:dyDescent="0.3">
      <c r="A571">
        <v>2026</v>
      </c>
      <c r="B571">
        <v>1</v>
      </c>
      <c r="C571" t="s">
        <v>291</v>
      </c>
      <c r="D571" t="s">
        <v>292</v>
      </c>
      <c r="E571" t="str">
        <f>TEXT(4603807000170,"00000000000000")</f>
        <v>04603807000170</v>
      </c>
      <c r="F571" t="s">
        <v>318</v>
      </c>
      <c r="G571" t="s">
        <v>204</v>
      </c>
      <c r="H571">
        <v>90487486</v>
      </c>
      <c r="I571" t="s">
        <v>391</v>
      </c>
      <c r="J571">
        <v>422</v>
      </c>
      <c r="K571">
        <v>13884.75</v>
      </c>
    </row>
    <row r="572" spans="1:11" x14ac:dyDescent="0.3">
      <c r="A572">
        <v>2026</v>
      </c>
      <c r="B572">
        <v>1</v>
      </c>
      <c r="C572" t="s">
        <v>291</v>
      </c>
      <c r="D572" t="s">
        <v>292</v>
      </c>
      <c r="E572" t="str">
        <f>TEXT(4603807000170,"00000000000000")</f>
        <v>04603807000170</v>
      </c>
      <c r="F572" t="s">
        <v>318</v>
      </c>
      <c r="G572" t="s">
        <v>204</v>
      </c>
      <c r="H572">
        <v>90503678</v>
      </c>
      <c r="I572" t="s">
        <v>392</v>
      </c>
      <c r="J572">
        <v>3</v>
      </c>
      <c r="K572">
        <v>2.61</v>
      </c>
    </row>
    <row r="573" spans="1:11" x14ac:dyDescent="0.3">
      <c r="A573">
        <v>2026</v>
      </c>
      <c r="B573">
        <v>1</v>
      </c>
      <c r="C573" t="s">
        <v>291</v>
      </c>
      <c r="D573" t="s">
        <v>292</v>
      </c>
      <c r="E573" t="str">
        <f>TEXT(4603807000170,"00000000000000")</f>
        <v>04603807000170</v>
      </c>
      <c r="F573" t="s">
        <v>318</v>
      </c>
      <c r="G573" t="s">
        <v>204</v>
      </c>
      <c r="H573">
        <v>90536274</v>
      </c>
      <c r="I573" t="s">
        <v>393</v>
      </c>
      <c r="J573">
        <v>1</v>
      </c>
      <c r="K573">
        <v>1475.62</v>
      </c>
    </row>
    <row r="574" spans="1:11" x14ac:dyDescent="0.3">
      <c r="A574">
        <v>2026</v>
      </c>
      <c r="B574">
        <v>1</v>
      </c>
      <c r="C574" t="s">
        <v>291</v>
      </c>
      <c r="D574" t="s">
        <v>292</v>
      </c>
      <c r="E574" t="str">
        <f>TEXT(4603807000170,"00000000000000")</f>
        <v>04603807000170</v>
      </c>
      <c r="F574" t="s">
        <v>318</v>
      </c>
      <c r="G574" t="s">
        <v>204</v>
      </c>
      <c r="H574">
        <v>90537041</v>
      </c>
      <c r="I574" t="s">
        <v>394</v>
      </c>
      <c r="J574">
        <v>1791</v>
      </c>
      <c r="K574">
        <v>415967.18</v>
      </c>
    </row>
    <row r="575" spans="1:11" x14ac:dyDescent="0.3">
      <c r="A575">
        <v>2026</v>
      </c>
      <c r="B575">
        <v>1</v>
      </c>
      <c r="C575" t="s">
        <v>291</v>
      </c>
      <c r="D575" t="s">
        <v>292</v>
      </c>
      <c r="E575" t="str">
        <f>TEXT(4603807000170,"00000000000000")</f>
        <v>04603807000170</v>
      </c>
      <c r="F575" t="s">
        <v>318</v>
      </c>
      <c r="G575" t="s">
        <v>204</v>
      </c>
      <c r="H575">
        <v>90538048</v>
      </c>
      <c r="I575" t="s">
        <v>395</v>
      </c>
      <c r="J575">
        <v>2850</v>
      </c>
      <c r="K575">
        <v>74859.63</v>
      </c>
    </row>
    <row r="576" spans="1:11" x14ac:dyDescent="0.3">
      <c r="A576">
        <v>2026</v>
      </c>
      <c r="B576">
        <v>1</v>
      </c>
      <c r="C576" t="s">
        <v>291</v>
      </c>
      <c r="D576" t="s">
        <v>292</v>
      </c>
      <c r="E576" t="str">
        <f>TEXT(4603807000170,"00000000000000")</f>
        <v>04603807000170</v>
      </c>
      <c r="F576" t="s">
        <v>318</v>
      </c>
      <c r="G576" t="s">
        <v>204</v>
      </c>
      <c r="H576">
        <v>90542576</v>
      </c>
      <c r="I576" t="s">
        <v>396</v>
      </c>
      <c r="J576">
        <v>132</v>
      </c>
      <c r="K576">
        <v>96.36</v>
      </c>
    </row>
    <row r="577" spans="1:11" x14ac:dyDescent="0.3">
      <c r="A577">
        <v>2026</v>
      </c>
      <c r="B577">
        <v>1</v>
      </c>
      <c r="C577" t="s">
        <v>291</v>
      </c>
      <c r="D577" t="s">
        <v>292</v>
      </c>
      <c r="E577" t="str">
        <f>TEXT(4603807000170,"00000000000000")</f>
        <v>04603807000170</v>
      </c>
      <c r="F577" t="s">
        <v>318</v>
      </c>
      <c r="G577" t="s">
        <v>204</v>
      </c>
      <c r="H577">
        <v>90542797</v>
      </c>
      <c r="I577" t="s">
        <v>397</v>
      </c>
      <c r="J577">
        <v>20</v>
      </c>
      <c r="K577">
        <v>27155.06</v>
      </c>
    </row>
    <row r="578" spans="1:11" x14ac:dyDescent="0.3">
      <c r="A578">
        <v>2026</v>
      </c>
      <c r="B578">
        <v>1</v>
      </c>
      <c r="C578" t="s">
        <v>291</v>
      </c>
      <c r="D578" t="s">
        <v>292</v>
      </c>
      <c r="E578" t="str">
        <f>TEXT(4603807000170,"00000000000000")</f>
        <v>04603807000170</v>
      </c>
      <c r="F578" t="s">
        <v>318</v>
      </c>
      <c r="G578" t="s">
        <v>204</v>
      </c>
      <c r="H578">
        <v>90551370</v>
      </c>
      <c r="I578" t="s">
        <v>398</v>
      </c>
      <c r="J578">
        <v>1</v>
      </c>
      <c r="K578">
        <v>835.24</v>
      </c>
    </row>
    <row r="579" spans="1:11" x14ac:dyDescent="0.3">
      <c r="A579">
        <v>2026</v>
      </c>
      <c r="B579">
        <v>1</v>
      </c>
      <c r="C579" t="s">
        <v>291</v>
      </c>
      <c r="D579" t="s">
        <v>292</v>
      </c>
      <c r="E579" t="str">
        <f>TEXT(4603807000170,"00000000000000")</f>
        <v>04603807000170</v>
      </c>
      <c r="F579" t="s">
        <v>318</v>
      </c>
      <c r="G579" t="s">
        <v>204</v>
      </c>
      <c r="H579">
        <v>90563301</v>
      </c>
      <c r="I579" t="s">
        <v>399</v>
      </c>
      <c r="J579">
        <v>1951</v>
      </c>
      <c r="K579">
        <v>30271.5</v>
      </c>
    </row>
    <row r="580" spans="1:11" x14ac:dyDescent="0.3">
      <c r="A580">
        <v>2026</v>
      </c>
      <c r="B580">
        <v>1</v>
      </c>
      <c r="C580" t="s">
        <v>291</v>
      </c>
      <c r="D580" t="s">
        <v>292</v>
      </c>
      <c r="E580" t="str">
        <f>TEXT(4603807000170,"00000000000000")</f>
        <v>04603807000170</v>
      </c>
      <c r="F580" t="s">
        <v>318</v>
      </c>
      <c r="G580" t="s">
        <v>204</v>
      </c>
      <c r="H580">
        <v>90567250</v>
      </c>
      <c r="I580" t="s">
        <v>400</v>
      </c>
      <c r="J580">
        <v>120</v>
      </c>
      <c r="K580">
        <v>64220.4</v>
      </c>
    </row>
    <row r="581" spans="1:11" x14ac:dyDescent="0.3">
      <c r="A581">
        <v>2026</v>
      </c>
      <c r="B581">
        <v>1</v>
      </c>
      <c r="C581" t="s">
        <v>291</v>
      </c>
      <c r="D581" t="s">
        <v>292</v>
      </c>
      <c r="E581" t="str">
        <f>TEXT(4603807000170,"00000000000000")</f>
        <v>04603807000170</v>
      </c>
      <c r="F581" t="s">
        <v>318</v>
      </c>
      <c r="G581" t="s">
        <v>204</v>
      </c>
      <c r="H581">
        <v>90570316</v>
      </c>
      <c r="I581" t="s">
        <v>401</v>
      </c>
      <c r="J581">
        <v>952</v>
      </c>
      <c r="K581">
        <v>107985.36</v>
      </c>
    </row>
    <row r="582" spans="1:11" x14ac:dyDescent="0.3">
      <c r="A582">
        <v>2026</v>
      </c>
      <c r="B582">
        <v>1</v>
      </c>
      <c r="C582" t="s">
        <v>291</v>
      </c>
      <c r="D582" t="s">
        <v>292</v>
      </c>
      <c r="E582" t="str">
        <f>TEXT(4603807000170,"00000000000000")</f>
        <v>04603807000170</v>
      </c>
      <c r="F582" t="s">
        <v>318</v>
      </c>
      <c r="G582" t="s">
        <v>204</v>
      </c>
      <c r="H582">
        <v>90583523</v>
      </c>
      <c r="I582" t="s">
        <v>402</v>
      </c>
      <c r="J582">
        <v>171</v>
      </c>
      <c r="K582">
        <v>179273.94</v>
      </c>
    </row>
    <row r="583" spans="1:11" x14ac:dyDescent="0.3">
      <c r="A583">
        <v>2026</v>
      </c>
      <c r="B583">
        <v>1</v>
      </c>
      <c r="C583" t="s">
        <v>291</v>
      </c>
      <c r="D583" t="s">
        <v>292</v>
      </c>
      <c r="E583" t="str">
        <f>TEXT(7901268000143,"00000000000000")</f>
        <v>07901268000143</v>
      </c>
      <c r="F583" t="s">
        <v>403</v>
      </c>
      <c r="G583" t="s">
        <v>14</v>
      </c>
      <c r="H583">
        <v>28010027</v>
      </c>
      <c r="I583" t="s">
        <v>404</v>
      </c>
      <c r="J583">
        <v>1</v>
      </c>
      <c r="K583">
        <v>3</v>
      </c>
    </row>
    <row r="584" spans="1:11" x14ac:dyDescent="0.3">
      <c r="A584">
        <v>2026</v>
      </c>
      <c r="B584">
        <v>1</v>
      </c>
      <c r="C584" t="s">
        <v>291</v>
      </c>
      <c r="D584" t="s">
        <v>292</v>
      </c>
      <c r="E584" t="str">
        <f>TEXT(7901268000143,"00000000000000")</f>
        <v>07901268000143</v>
      </c>
      <c r="F584" t="s">
        <v>403</v>
      </c>
      <c r="G584" t="s">
        <v>14</v>
      </c>
      <c r="H584">
        <v>28010060</v>
      </c>
      <c r="I584" t="s">
        <v>95</v>
      </c>
      <c r="J584">
        <v>11</v>
      </c>
      <c r="K584">
        <v>237.82</v>
      </c>
    </row>
    <row r="585" spans="1:11" x14ac:dyDescent="0.3">
      <c r="A585">
        <v>2026</v>
      </c>
      <c r="B585">
        <v>1</v>
      </c>
      <c r="C585" t="s">
        <v>291</v>
      </c>
      <c r="D585" t="s">
        <v>292</v>
      </c>
      <c r="E585" t="str">
        <f>TEXT(7901268000143,"00000000000000")</f>
        <v>07901268000143</v>
      </c>
      <c r="F585" t="s">
        <v>403</v>
      </c>
      <c r="G585" t="s">
        <v>14</v>
      </c>
      <c r="H585">
        <v>28010175</v>
      </c>
      <c r="I585" t="s">
        <v>19</v>
      </c>
      <c r="J585">
        <v>1</v>
      </c>
      <c r="K585">
        <v>2.96</v>
      </c>
    </row>
    <row r="586" spans="1:11" x14ac:dyDescent="0.3">
      <c r="A586">
        <v>2026</v>
      </c>
      <c r="B586">
        <v>1</v>
      </c>
      <c r="C586" t="s">
        <v>291</v>
      </c>
      <c r="D586" t="s">
        <v>292</v>
      </c>
      <c r="E586" t="str">
        <f>TEXT(7901268000143,"00000000000000")</f>
        <v>07901268000143</v>
      </c>
      <c r="F586" t="s">
        <v>403</v>
      </c>
      <c r="G586" t="s">
        <v>14</v>
      </c>
      <c r="H586">
        <v>28010213</v>
      </c>
      <c r="I586" t="s">
        <v>96</v>
      </c>
      <c r="J586">
        <v>2</v>
      </c>
      <c r="K586">
        <v>52</v>
      </c>
    </row>
    <row r="587" spans="1:11" x14ac:dyDescent="0.3">
      <c r="A587">
        <v>2026</v>
      </c>
      <c r="B587">
        <v>1</v>
      </c>
      <c r="C587" t="s">
        <v>291</v>
      </c>
      <c r="D587" t="s">
        <v>292</v>
      </c>
      <c r="E587" t="str">
        <f>TEXT(7901268000143,"00000000000000")</f>
        <v>07901268000143</v>
      </c>
      <c r="F587" t="s">
        <v>403</v>
      </c>
      <c r="G587" t="s">
        <v>14</v>
      </c>
      <c r="H587">
        <v>28010221</v>
      </c>
      <c r="I587" t="s">
        <v>405</v>
      </c>
      <c r="J587">
        <v>2</v>
      </c>
      <c r="K587">
        <v>30.24</v>
      </c>
    </row>
    <row r="588" spans="1:11" x14ac:dyDescent="0.3">
      <c r="A588">
        <v>2026</v>
      </c>
      <c r="B588">
        <v>1</v>
      </c>
      <c r="C588" t="s">
        <v>291</v>
      </c>
      <c r="D588" t="s">
        <v>292</v>
      </c>
      <c r="E588" t="str">
        <f>TEXT(7901268000143,"00000000000000")</f>
        <v>07901268000143</v>
      </c>
      <c r="F588" t="s">
        <v>403</v>
      </c>
      <c r="G588" t="s">
        <v>14</v>
      </c>
      <c r="H588">
        <v>28010230</v>
      </c>
      <c r="I588" t="s">
        <v>406</v>
      </c>
      <c r="J588">
        <v>1</v>
      </c>
      <c r="K588">
        <v>14.8</v>
      </c>
    </row>
    <row r="589" spans="1:11" x14ac:dyDescent="0.3">
      <c r="A589">
        <v>2026</v>
      </c>
      <c r="B589">
        <v>1</v>
      </c>
      <c r="C589" t="s">
        <v>291</v>
      </c>
      <c r="D589" t="s">
        <v>292</v>
      </c>
      <c r="E589" t="str">
        <f>TEXT(7901268000143,"00000000000000")</f>
        <v>07901268000143</v>
      </c>
      <c r="F589" t="s">
        <v>403</v>
      </c>
      <c r="G589" t="s">
        <v>14</v>
      </c>
      <c r="H589">
        <v>28010299</v>
      </c>
      <c r="I589" t="s">
        <v>20</v>
      </c>
      <c r="J589">
        <v>9</v>
      </c>
      <c r="K589">
        <v>38.520000000000003</v>
      </c>
    </row>
    <row r="590" spans="1:11" x14ac:dyDescent="0.3">
      <c r="A590">
        <v>2026</v>
      </c>
      <c r="B590">
        <v>1</v>
      </c>
      <c r="C590" t="s">
        <v>291</v>
      </c>
      <c r="D590" t="s">
        <v>292</v>
      </c>
      <c r="E590" t="str">
        <f>TEXT(7901268000143,"00000000000000")</f>
        <v>07901268000143</v>
      </c>
      <c r="F590" t="s">
        <v>403</v>
      </c>
      <c r="G590" t="s">
        <v>14</v>
      </c>
      <c r="H590">
        <v>28010329</v>
      </c>
      <c r="I590" t="s">
        <v>21</v>
      </c>
      <c r="J590">
        <v>2</v>
      </c>
      <c r="K590">
        <v>5.92</v>
      </c>
    </row>
    <row r="591" spans="1:11" x14ac:dyDescent="0.3">
      <c r="A591">
        <v>2026</v>
      </c>
      <c r="B591">
        <v>1</v>
      </c>
      <c r="C591" t="s">
        <v>291</v>
      </c>
      <c r="D591" t="s">
        <v>292</v>
      </c>
      <c r="E591" t="str">
        <f>TEXT(7901268000143,"00000000000000")</f>
        <v>07901268000143</v>
      </c>
      <c r="F591" t="s">
        <v>403</v>
      </c>
      <c r="G591" t="s">
        <v>14</v>
      </c>
      <c r="H591">
        <v>28010337</v>
      </c>
      <c r="I591" t="s">
        <v>113</v>
      </c>
      <c r="J591">
        <v>1</v>
      </c>
      <c r="K591">
        <v>7.32</v>
      </c>
    </row>
    <row r="592" spans="1:11" x14ac:dyDescent="0.3">
      <c r="A592">
        <v>2026</v>
      </c>
      <c r="B592">
        <v>1</v>
      </c>
      <c r="C592" t="s">
        <v>291</v>
      </c>
      <c r="D592" t="s">
        <v>292</v>
      </c>
      <c r="E592" t="str">
        <f>TEXT(7901268000143,"00000000000000")</f>
        <v>07901268000143</v>
      </c>
      <c r="F592" t="s">
        <v>403</v>
      </c>
      <c r="G592" t="s">
        <v>14</v>
      </c>
      <c r="H592">
        <v>28010345</v>
      </c>
      <c r="I592" t="s">
        <v>97</v>
      </c>
      <c r="J592">
        <v>2</v>
      </c>
      <c r="K592">
        <v>6</v>
      </c>
    </row>
    <row r="593" spans="1:11" x14ac:dyDescent="0.3">
      <c r="A593">
        <v>2026</v>
      </c>
      <c r="B593">
        <v>1</v>
      </c>
      <c r="C593" t="s">
        <v>291</v>
      </c>
      <c r="D593" t="s">
        <v>292</v>
      </c>
      <c r="E593" t="str">
        <f>TEXT(7901268000143,"00000000000000")</f>
        <v>07901268000143</v>
      </c>
      <c r="F593" t="s">
        <v>403</v>
      </c>
      <c r="G593" t="s">
        <v>14</v>
      </c>
      <c r="H593">
        <v>28010370</v>
      </c>
      <c r="I593" t="s">
        <v>407</v>
      </c>
      <c r="J593">
        <v>2</v>
      </c>
      <c r="K593">
        <v>30.24</v>
      </c>
    </row>
    <row r="594" spans="1:11" x14ac:dyDescent="0.3">
      <c r="A594">
        <v>2026</v>
      </c>
      <c r="B594">
        <v>1</v>
      </c>
      <c r="C594" t="s">
        <v>291</v>
      </c>
      <c r="D594" t="s">
        <v>292</v>
      </c>
      <c r="E594" t="str">
        <f>TEXT(7901268000143,"00000000000000")</f>
        <v>07901268000143</v>
      </c>
      <c r="F594" t="s">
        <v>403</v>
      </c>
      <c r="G594" t="s">
        <v>14</v>
      </c>
      <c r="H594">
        <v>28010426</v>
      </c>
      <c r="I594" t="s">
        <v>408</v>
      </c>
      <c r="J594">
        <v>3</v>
      </c>
      <c r="K594">
        <v>15.96</v>
      </c>
    </row>
    <row r="595" spans="1:11" x14ac:dyDescent="0.3">
      <c r="A595">
        <v>2026</v>
      </c>
      <c r="B595">
        <v>1</v>
      </c>
      <c r="C595" t="s">
        <v>291</v>
      </c>
      <c r="D595" t="s">
        <v>292</v>
      </c>
      <c r="E595" t="str">
        <f>TEXT(7901268000143,"00000000000000")</f>
        <v>07901268000143</v>
      </c>
      <c r="F595" t="s">
        <v>403</v>
      </c>
      <c r="G595" t="s">
        <v>14</v>
      </c>
      <c r="H595">
        <v>28010469</v>
      </c>
      <c r="I595" t="s">
        <v>22</v>
      </c>
      <c r="J595">
        <v>14</v>
      </c>
      <c r="K595">
        <v>42</v>
      </c>
    </row>
    <row r="596" spans="1:11" x14ac:dyDescent="0.3">
      <c r="A596">
        <v>2026</v>
      </c>
      <c r="B596">
        <v>1</v>
      </c>
      <c r="C596" t="s">
        <v>291</v>
      </c>
      <c r="D596" t="s">
        <v>292</v>
      </c>
      <c r="E596" t="str">
        <f>TEXT(7901268000143,"00000000000000")</f>
        <v>07901268000143</v>
      </c>
      <c r="F596" t="s">
        <v>403</v>
      </c>
      <c r="G596" t="s">
        <v>14</v>
      </c>
      <c r="H596">
        <v>28010540</v>
      </c>
      <c r="I596" t="s">
        <v>23</v>
      </c>
      <c r="J596">
        <v>25</v>
      </c>
      <c r="K596">
        <v>75</v>
      </c>
    </row>
    <row r="597" spans="1:11" x14ac:dyDescent="0.3">
      <c r="A597">
        <v>2026</v>
      </c>
      <c r="B597">
        <v>1</v>
      </c>
      <c r="C597" t="s">
        <v>291</v>
      </c>
      <c r="D597" t="s">
        <v>292</v>
      </c>
      <c r="E597" t="str">
        <f>TEXT(7901268000143,"00000000000000")</f>
        <v>07901268000143</v>
      </c>
      <c r="F597" t="s">
        <v>403</v>
      </c>
      <c r="G597" t="s">
        <v>14</v>
      </c>
      <c r="H597">
        <v>28010558</v>
      </c>
      <c r="I597" t="s">
        <v>274</v>
      </c>
      <c r="J597">
        <v>1</v>
      </c>
      <c r="K597">
        <v>8.48</v>
      </c>
    </row>
    <row r="598" spans="1:11" x14ac:dyDescent="0.3">
      <c r="A598">
        <v>2026</v>
      </c>
      <c r="B598">
        <v>1</v>
      </c>
      <c r="C598" t="s">
        <v>291</v>
      </c>
      <c r="D598" t="s">
        <v>292</v>
      </c>
      <c r="E598" t="str">
        <f>TEXT(7901268000143,"00000000000000")</f>
        <v>07901268000143</v>
      </c>
      <c r="F598" t="s">
        <v>403</v>
      </c>
      <c r="G598" t="s">
        <v>14</v>
      </c>
      <c r="H598">
        <v>28010566</v>
      </c>
      <c r="I598" t="s">
        <v>275</v>
      </c>
      <c r="J598">
        <v>1</v>
      </c>
      <c r="K598">
        <v>16</v>
      </c>
    </row>
    <row r="599" spans="1:11" x14ac:dyDescent="0.3">
      <c r="A599">
        <v>2026</v>
      </c>
      <c r="B599">
        <v>1</v>
      </c>
      <c r="C599" t="s">
        <v>291</v>
      </c>
      <c r="D599" t="s">
        <v>292</v>
      </c>
      <c r="E599" t="str">
        <f>TEXT(7901268000143,"00000000000000")</f>
        <v>07901268000143</v>
      </c>
      <c r="F599" t="s">
        <v>403</v>
      </c>
      <c r="G599" t="s">
        <v>14</v>
      </c>
      <c r="H599">
        <v>28010655</v>
      </c>
      <c r="I599" t="s">
        <v>78</v>
      </c>
      <c r="J599">
        <v>1</v>
      </c>
      <c r="K599">
        <v>6.4</v>
      </c>
    </row>
    <row r="600" spans="1:11" x14ac:dyDescent="0.3">
      <c r="A600">
        <v>2026</v>
      </c>
      <c r="B600">
        <v>1</v>
      </c>
      <c r="C600" t="s">
        <v>291</v>
      </c>
      <c r="D600" t="s">
        <v>292</v>
      </c>
      <c r="E600" t="str">
        <f>TEXT(7901268000143,"00000000000000")</f>
        <v>07901268000143</v>
      </c>
      <c r="F600" t="s">
        <v>403</v>
      </c>
      <c r="G600" t="s">
        <v>14</v>
      </c>
      <c r="H600">
        <v>28010736</v>
      </c>
      <c r="I600" t="s">
        <v>276</v>
      </c>
      <c r="J600">
        <v>9</v>
      </c>
      <c r="K600">
        <v>76.319999999999993</v>
      </c>
    </row>
    <row r="601" spans="1:11" x14ac:dyDescent="0.3">
      <c r="A601">
        <v>2026</v>
      </c>
      <c r="B601">
        <v>1</v>
      </c>
      <c r="C601" t="s">
        <v>291</v>
      </c>
      <c r="D601" t="s">
        <v>292</v>
      </c>
      <c r="E601" t="str">
        <f>TEXT(7901268000143,"00000000000000")</f>
        <v>07901268000143</v>
      </c>
      <c r="F601" t="s">
        <v>403</v>
      </c>
      <c r="G601" t="s">
        <v>14</v>
      </c>
      <c r="H601">
        <v>28010795</v>
      </c>
      <c r="I601" t="s">
        <v>24</v>
      </c>
      <c r="J601">
        <v>6</v>
      </c>
      <c r="K601">
        <v>166.08</v>
      </c>
    </row>
    <row r="602" spans="1:11" x14ac:dyDescent="0.3">
      <c r="A602">
        <v>2026</v>
      </c>
      <c r="B602">
        <v>1</v>
      </c>
      <c r="C602" t="s">
        <v>291</v>
      </c>
      <c r="D602" t="s">
        <v>292</v>
      </c>
      <c r="E602" t="str">
        <f>TEXT(7901268000143,"00000000000000")</f>
        <v>07901268000143</v>
      </c>
      <c r="F602" t="s">
        <v>403</v>
      </c>
      <c r="G602" t="s">
        <v>14</v>
      </c>
      <c r="H602">
        <v>28010850</v>
      </c>
      <c r="I602" t="s">
        <v>26</v>
      </c>
      <c r="J602">
        <v>2</v>
      </c>
      <c r="K602">
        <v>7.68</v>
      </c>
    </row>
    <row r="603" spans="1:11" x14ac:dyDescent="0.3">
      <c r="A603">
        <v>2026</v>
      </c>
      <c r="B603">
        <v>1</v>
      </c>
      <c r="C603" t="s">
        <v>291</v>
      </c>
      <c r="D603" t="s">
        <v>292</v>
      </c>
      <c r="E603" t="str">
        <f>TEXT(7901268000143,"00000000000000")</f>
        <v>07901268000143</v>
      </c>
      <c r="F603" t="s">
        <v>403</v>
      </c>
      <c r="G603" t="s">
        <v>14</v>
      </c>
      <c r="H603">
        <v>28010957</v>
      </c>
      <c r="I603" t="s">
        <v>28</v>
      </c>
      <c r="J603">
        <v>1</v>
      </c>
      <c r="K603">
        <v>4.24</v>
      </c>
    </row>
    <row r="604" spans="1:11" x14ac:dyDescent="0.3">
      <c r="A604">
        <v>2026</v>
      </c>
      <c r="B604">
        <v>1</v>
      </c>
      <c r="C604" t="s">
        <v>291</v>
      </c>
      <c r="D604" t="s">
        <v>292</v>
      </c>
      <c r="E604" t="str">
        <f>TEXT(7901268000143,"00000000000000")</f>
        <v>07901268000143</v>
      </c>
      <c r="F604" t="s">
        <v>403</v>
      </c>
      <c r="G604" t="s">
        <v>14</v>
      </c>
      <c r="H604">
        <v>28011120</v>
      </c>
      <c r="I604" t="s">
        <v>32</v>
      </c>
      <c r="J604">
        <v>10</v>
      </c>
      <c r="K604">
        <v>34</v>
      </c>
    </row>
    <row r="605" spans="1:11" x14ac:dyDescent="0.3">
      <c r="A605">
        <v>2026</v>
      </c>
      <c r="B605">
        <v>1</v>
      </c>
      <c r="C605" t="s">
        <v>291</v>
      </c>
      <c r="D605" t="s">
        <v>292</v>
      </c>
      <c r="E605" t="str">
        <f>TEXT(7901268000143,"00000000000000")</f>
        <v>07901268000143</v>
      </c>
      <c r="F605" t="s">
        <v>403</v>
      </c>
      <c r="G605" t="s">
        <v>14</v>
      </c>
      <c r="H605">
        <v>28011210</v>
      </c>
      <c r="I605" t="s">
        <v>34</v>
      </c>
      <c r="J605">
        <v>34</v>
      </c>
      <c r="K605">
        <v>100.64</v>
      </c>
    </row>
    <row r="606" spans="1:11" x14ac:dyDescent="0.3">
      <c r="A606">
        <v>2026</v>
      </c>
      <c r="B606">
        <v>1</v>
      </c>
      <c r="C606" t="s">
        <v>291</v>
      </c>
      <c r="D606" t="s">
        <v>292</v>
      </c>
      <c r="E606" t="str">
        <f>TEXT(7901268000143,"00000000000000")</f>
        <v>07901268000143</v>
      </c>
      <c r="F606" t="s">
        <v>403</v>
      </c>
      <c r="G606" t="s">
        <v>14</v>
      </c>
      <c r="H606">
        <v>28011244</v>
      </c>
      <c r="I606" t="s">
        <v>98</v>
      </c>
      <c r="J606">
        <v>8</v>
      </c>
      <c r="K606">
        <v>24</v>
      </c>
    </row>
    <row r="607" spans="1:11" x14ac:dyDescent="0.3">
      <c r="A607">
        <v>2026</v>
      </c>
      <c r="B607">
        <v>1</v>
      </c>
      <c r="C607" t="s">
        <v>291</v>
      </c>
      <c r="D607" t="s">
        <v>292</v>
      </c>
      <c r="E607" t="str">
        <f>TEXT(7901268000143,"00000000000000")</f>
        <v>07901268000143</v>
      </c>
      <c r="F607" t="s">
        <v>403</v>
      </c>
      <c r="G607" t="s">
        <v>14</v>
      </c>
      <c r="H607">
        <v>28011252</v>
      </c>
      <c r="I607" t="s">
        <v>35</v>
      </c>
      <c r="J607">
        <v>7</v>
      </c>
      <c r="K607">
        <v>21</v>
      </c>
    </row>
    <row r="608" spans="1:11" x14ac:dyDescent="0.3">
      <c r="A608">
        <v>2026</v>
      </c>
      <c r="B608">
        <v>1</v>
      </c>
      <c r="C608" t="s">
        <v>291</v>
      </c>
      <c r="D608" t="s">
        <v>292</v>
      </c>
      <c r="E608" t="str">
        <f>TEXT(7901268000143,"00000000000000")</f>
        <v>07901268000143</v>
      </c>
      <c r="F608" t="s">
        <v>403</v>
      </c>
      <c r="G608" t="s">
        <v>14</v>
      </c>
      <c r="H608">
        <v>28011279</v>
      </c>
      <c r="I608" t="s">
        <v>36</v>
      </c>
      <c r="J608">
        <v>35</v>
      </c>
      <c r="K608">
        <v>103.6</v>
      </c>
    </row>
    <row r="609" spans="1:11" x14ac:dyDescent="0.3">
      <c r="A609">
        <v>2026</v>
      </c>
      <c r="B609">
        <v>1</v>
      </c>
      <c r="C609" t="s">
        <v>291</v>
      </c>
      <c r="D609" t="s">
        <v>292</v>
      </c>
      <c r="E609" t="str">
        <f>TEXT(7901268000143,"00000000000000")</f>
        <v>07901268000143</v>
      </c>
      <c r="F609" t="s">
        <v>403</v>
      </c>
      <c r="G609" t="s">
        <v>14</v>
      </c>
      <c r="H609">
        <v>28011368</v>
      </c>
      <c r="I609" t="s">
        <v>37</v>
      </c>
      <c r="J609">
        <v>1</v>
      </c>
      <c r="K609">
        <v>3</v>
      </c>
    </row>
    <row r="610" spans="1:11" x14ac:dyDescent="0.3">
      <c r="A610">
        <v>2026</v>
      </c>
      <c r="B610">
        <v>1</v>
      </c>
      <c r="C610" t="s">
        <v>291</v>
      </c>
      <c r="D610" t="s">
        <v>292</v>
      </c>
      <c r="E610" t="str">
        <f>TEXT(7901268000143,"00000000000000")</f>
        <v>07901268000143</v>
      </c>
      <c r="F610" t="s">
        <v>403</v>
      </c>
      <c r="G610" t="s">
        <v>14</v>
      </c>
      <c r="H610">
        <v>28011376</v>
      </c>
      <c r="I610" t="s">
        <v>38</v>
      </c>
      <c r="J610">
        <v>1</v>
      </c>
      <c r="K610">
        <v>3</v>
      </c>
    </row>
    <row r="611" spans="1:11" x14ac:dyDescent="0.3">
      <c r="A611">
        <v>2026</v>
      </c>
      <c r="B611">
        <v>1</v>
      </c>
      <c r="C611" t="s">
        <v>291</v>
      </c>
      <c r="D611" t="s">
        <v>292</v>
      </c>
      <c r="E611" t="str">
        <f>TEXT(7901268000143,"00000000000000")</f>
        <v>07901268000143</v>
      </c>
      <c r="F611" t="s">
        <v>403</v>
      </c>
      <c r="G611" t="s">
        <v>14</v>
      </c>
      <c r="H611">
        <v>28011384</v>
      </c>
      <c r="I611" t="s">
        <v>99</v>
      </c>
      <c r="J611">
        <v>18</v>
      </c>
      <c r="K611">
        <v>230.4</v>
      </c>
    </row>
    <row r="612" spans="1:11" x14ac:dyDescent="0.3">
      <c r="A612">
        <v>2026</v>
      </c>
      <c r="B612">
        <v>1</v>
      </c>
      <c r="C612" t="s">
        <v>291</v>
      </c>
      <c r="D612" t="s">
        <v>292</v>
      </c>
      <c r="E612" t="str">
        <f>TEXT(7901268000143,"00000000000000")</f>
        <v>07901268000143</v>
      </c>
      <c r="F612" t="s">
        <v>403</v>
      </c>
      <c r="G612" t="s">
        <v>14</v>
      </c>
      <c r="H612">
        <v>28011414</v>
      </c>
      <c r="I612" t="s">
        <v>39</v>
      </c>
      <c r="J612">
        <v>26</v>
      </c>
      <c r="K612">
        <v>78</v>
      </c>
    </row>
    <row r="613" spans="1:11" x14ac:dyDescent="0.3">
      <c r="A613">
        <v>2026</v>
      </c>
      <c r="B613">
        <v>1</v>
      </c>
      <c r="C613" t="s">
        <v>291</v>
      </c>
      <c r="D613" t="s">
        <v>292</v>
      </c>
      <c r="E613" t="str">
        <f>TEXT(7901268000143,"00000000000000")</f>
        <v>07901268000143</v>
      </c>
      <c r="F613" t="s">
        <v>403</v>
      </c>
      <c r="G613" t="s">
        <v>14</v>
      </c>
      <c r="H613">
        <v>28011449</v>
      </c>
      <c r="I613" t="s">
        <v>40</v>
      </c>
      <c r="J613">
        <v>95</v>
      </c>
      <c r="K613">
        <v>1824</v>
      </c>
    </row>
    <row r="614" spans="1:11" x14ac:dyDescent="0.3">
      <c r="A614">
        <v>2026</v>
      </c>
      <c r="B614">
        <v>1</v>
      </c>
      <c r="C614" t="s">
        <v>291</v>
      </c>
      <c r="D614" t="s">
        <v>292</v>
      </c>
      <c r="E614" t="str">
        <f>TEXT(7901268000143,"00000000000000")</f>
        <v>07901268000143</v>
      </c>
      <c r="F614" t="s">
        <v>403</v>
      </c>
      <c r="G614" t="s">
        <v>14</v>
      </c>
      <c r="H614">
        <v>28011562</v>
      </c>
      <c r="I614" t="s">
        <v>277</v>
      </c>
      <c r="J614">
        <v>1</v>
      </c>
      <c r="K614">
        <v>6</v>
      </c>
    </row>
    <row r="615" spans="1:11" x14ac:dyDescent="0.3">
      <c r="A615">
        <v>2026</v>
      </c>
      <c r="B615">
        <v>1</v>
      </c>
      <c r="C615" t="s">
        <v>291</v>
      </c>
      <c r="D615" t="s">
        <v>292</v>
      </c>
      <c r="E615" t="str">
        <f>TEXT(7901268000143,"00000000000000")</f>
        <v>07901268000143</v>
      </c>
      <c r="F615" t="s">
        <v>403</v>
      </c>
      <c r="G615" t="s">
        <v>14</v>
      </c>
      <c r="H615">
        <v>28011570</v>
      </c>
      <c r="I615" t="s">
        <v>409</v>
      </c>
      <c r="J615">
        <v>3</v>
      </c>
      <c r="K615">
        <v>51.6</v>
      </c>
    </row>
    <row r="616" spans="1:11" x14ac:dyDescent="0.3">
      <c r="A616">
        <v>2026</v>
      </c>
      <c r="B616">
        <v>1</v>
      </c>
      <c r="C616" t="s">
        <v>291</v>
      </c>
      <c r="D616" t="s">
        <v>292</v>
      </c>
      <c r="E616" t="str">
        <f>TEXT(7901268000143,"00000000000000")</f>
        <v>07901268000143</v>
      </c>
      <c r="F616" t="s">
        <v>403</v>
      </c>
      <c r="G616" t="s">
        <v>14</v>
      </c>
      <c r="H616">
        <v>28011678</v>
      </c>
      <c r="I616" t="s">
        <v>278</v>
      </c>
      <c r="J616">
        <v>3</v>
      </c>
      <c r="K616">
        <v>51.6</v>
      </c>
    </row>
    <row r="617" spans="1:11" x14ac:dyDescent="0.3">
      <c r="A617">
        <v>2026</v>
      </c>
      <c r="B617">
        <v>1</v>
      </c>
      <c r="C617" t="s">
        <v>291</v>
      </c>
      <c r="D617" t="s">
        <v>292</v>
      </c>
      <c r="E617" t="str">
        <f>TEXT(7901268000143,"00000000000000")</f>
        <v>07901268000143</v>
      </c>
      <c r="F617" t="s">
        <v>403</v>
      </c>
      <c r="G617" t="s">
        <v>14</v>
      </c>
      <c r="H617">
        <v>28011724</v>
      </c>
      <c r="I617" t="s">
        <v>410</v>
      </c>
      <c r="J617">
        <v>1</v>
      </c>
      <c r="K617">
        <v>18.239999999999998</v>
      </c>
    </row>
    <row r="618" spans="1:11" x14ac:dyDescent="0.3">
      <c r="A618">
        <v>2026</v>
      </c>
      <c r="B618">
        <v>1</v>
      </c>
      <c r="C618" t="s">
        <v>291</v>
      </c>
      <c r="D618" t="s">
        <v>292</v>
      </c>
      <c r="E618" t="str">
        <f>TEXT(7901268000143,"00000000000000")</f>
        <v>07901268000143</v>
      </c>
      <c r="F618" t="s">
        <v>403</v>
      </c>
      <c r="G618" t="s">
        <v>14</v>
      </c>
      <c r="H618">
        <v>28011783</v>
      </c>
      <c r="I618" t="s">
        <v>411</v>
      </c>
      <c r="J618">
        <v>8</v>
      </c>
      <c r="K618">
        <v>204.8</v>
      </c>
    </row>
    <row r="619" spans="1:11" x14ac:dyDescent="0.3">
      <c r="A619">
        <v>2026</v>
      </c>
      <c r="B619">
        <v>1</v>
      </c>
      <c r="C619" t="s">
        <v>291</v>
      </c>
      <c r="D619" t="s">
        <v>292</v>
      </c>
      <c r="E619" t="str">
        <f>TEXT(7901268000143,"00000000000000")</f>
        <v>07901268000143</v>
      </c>
      <c r="F619" t="s">
        <v>403</v>
      </c>
      <c r="G619" t="s">
        <v>14</v>
      </c>
      <c r="H619">
        <v>28011791</v>
      </c>
      <c r="I619" t="s">
        <v>279</v>
      </c>
      <c r="J619">
        <v>4</v>
      </c>
      <c r="K619">
        <v>80</v>
      </c>
    </row>
    <row r="620" spans="1:11" x14ac:dyDescent="0.3">
      <c r="A620">
        <v>2026</v>
      </c>
      <c r="B620">
        <v>1</v>
      </c>
      <c r="C620" t="s">
        <v>291</v>
      </c>
      <c r="D620" t="s">
        <v>292</v>
      </c>
      <c r="E620" t="str">
        <f>TEXT(7901268000143,"00000000000000")</f>
        <v>07901268000143</v>
      </c>
      <c r="F620" t="s">
        <v>403</v>
      </c>
      <c r="G620" t="s">
        <v>14</v>
      </c>
      <c r="H620">
        <v>28020022</v>
      </c>
      <c r="I620" t="s">
        <v>412</v>
      </c>
      <c r="J620">
        <v>1</v>
      </c>
      <c r="K620">
        <v>8.16</v>
      </c>
    </row>
    <row r="621" spans="1:11" x14ac:dyDescent="0.3">
      <c r="A621">
        <v>2026</v>
      </c>
      <c r="B621">
        <v>1</v>
      </c>
      <c r="C621" t="s">
        <v>291</v>
      </c>
      <c r="D621" t="s">
        <v>292</v>
      </c>
      <c r="E621" t="str">
        <f>TEXT(7901268000143,"00000000000000")</f>
        <v>07901268000143</v>
      </c>
      <c r="F621" t="s">
        <v>403</v>
      </c>
      <c r="G621" t="s">
        <v>14</v>
      </c>
      <c r="H621">
        <v>28030060</v>
      </c>
      <c r="I621" t="s">
        <v>413</v>
      </c>
      <c r="J621">
        <v>1</v>
      </c>
      <c r="K621">
        <v>16</v>
      </c>
    </row>
    <row r="622" spans="1:11" x14ac:dyDescent="0.3">
      <c r="A622">
        <v>2026</v>
      </c>
      <c r="B622">
        <v>1</v>
      </c>
      <c r="C622" t="s">
        <v>291</v>
      </c>
      <c r="D622" t="s">
        <v>292</v>
      </c>
      <c r="E622" t="str">
        <f>TEXT(7901268000143,"00000000000000")</f>
        <v>07901268000143</v>
      </c>
      <c r="F622" t="s">
        <v>403</v>
      </c>
      <c r="G622" t="s">
        <v>14</v>
      </c>
      <c r="H622">
        <v>28030176</v>
      </c>
      <c r="I622" t="s">
        <v>114</v>
      </c>
      <c r="J622">
        <v>7</v>
      </c>
      <c r="K622">
        <v>22.4</v>
      </c>
    </row>
    <row r="623" spans="1:11" x14ac:dyDescent="0.3">
      <c r="A623">
        <v>2026</v>
      </c>
      <c r="B623">
        <v>1</v>
      </c>
      <c r="C623" t="s">
        <v>291</v>
      </c>
      <c r="D623" t="s">
        <v>292</v>
      </c>
      <c r="E623" t="str">
        <f>TEXT(7901268000143,"00000000000000")</f>
        <v>07901268000143</v>
      </c>
      <c r="F623" t="s">
        <v>403</v>
      </c>
      <c r="G623" t="s">
        <v>14</v>
      </c>
      <c r="H623">
        <v>28040090</v>
      </c>
      <c r="I623" t="s">
        <v>414</v>
      </c>
      <c r="J623">
        <v>1</v>
      </c>
      <c r="K623">
        <v>17.28</v>
      </c>
    </row>
    <row r="624" spans="1:11" x14ac:dyDescent="0.3">
      <c r="A624">
        <v>2026</v>
      </c>
      <c r="B624">
        <v>1</v>
      </c>
      <c r="C624" t="s">
        <v>291</v>
      </c>
      <c r="D624" t="s">
        <v>292</v>
      </c>
      <c r="E624" t="str">
        <f>TEXT(7901268000143,"00000000000000")</f>
        <v>07901268000143</v>
      </c>
      <c r="F624" t="s">
        <v>403</v>
      </c>
      <c r="G624" t="s">
        <v>14</v>
      </c>
      <c r="H624">
        <v>28040139</v>
      </c>
      <c r="I624" t="s">
        <v>82</v>
      </c>
      <c r="J624">
        <v>34</v>
      </c>
      <c r="K624">
        <v>489.6</v>
      </c>
    </row>
    <row r="625" spans="1:11" x14ac:dyDescent="0.3">
      <c r="A625">
        <v>2026</v>
      </c>
      <c r="B625">
        <v>1</v>
      </c>
      <c r="C625" t="s">
        <v>291</v>
      </c>
      <c r="D625" t="s">
        <v>292</v>
      </c>
      <c r="E625" t="str">
        <f>TEXT(7901268000143,"00000000000000")</f>
        <v>07901268000143</v>
      </c>
      <c r="F625" t="s">
        <v>403</v>
      </c>
      <c r="G625" t="s">
        <v>14</v>
      </c>
      <c r="H625">
        <v>28040155</v>
      </c>
      <c r="I625" t="s">
        <v>415</v>
      </c>
      <c r="J625">
        <v>1</v>
      </c>
      <c r="K625">
        <v>4.24</v>
      </c>
    </row>
    <row r="626" spans="1:11" x14ac:dyDescent="0.3">
      <c r="A626">
        <v>2026</v>
      </c>
      <c r="B626">
        <v>1</v>
      </c>
      <c r="C626" t="s">
        <v>291</v>
      </c>
      <c r="D626" t="s">
        <v>292</v>
      </c>
      <c r="E626" t="str">
        <f>TEXT(7901268000143,"00000000000000")</f>
        <v>07901268000143</v>
      </c>
      <c r="F626" t="s">
        <v>403</v>
      </c>
      <c r="G626" t="s">
        <v>14</v>
      </c>
      <c r="H626">
        <v>28040333</v>
      </c>
      <c r="I626" t="s">
        <v>280</v>
      </c>
      <c r="J626">
        <v>2</v>
      </c>
      <c r="K626">
        <v>8.56</v>
      </c>
    </row>
    <row r="627" spans="1:11" x14ac:dyDescent="0.3">
      <c r="A627">
        <v>2026</v>
      </c>
      <c r="B627">
        <v>1</v>
      </c>
      <c r="C627" t="s">
        <v>291</v>
      </c>
      <c r="D627" t="s">
        <v>292</v>
      </c>
      <c r="E627" t="str">
        <f>TEXT(7901268000143,"00000000000000")</f>
        <v>07901268000143</v>
      </c>
      <c r="F627" t="s">
        <v>403</v>
      </c>
      <c r="G627" t="s">
        <v>14</v>
      </c>
      <c r="H627">
        <v>28040350</v>
      </c>
      <c r="I627" t="s">
        <v>83</v>
      </c>
      <c r="J627">
        <v>3</v>
      </c>
      <c r="K627">
        <v>19.2</v>
      </c>
    </row>
    <row r="628" spans="1:11" x14ac:dyDescent="0.3">
      <c r="A628">
        <v>2026</v>
      </c>
      <c r="B628">
        <v>1</v>
      </c>
      <c r="C628" t="s">
        <v>291</v>
      </c>
      <c r="D628" t="s">
        <v>292</v>
      </c>
      <c r="E628" t="str">
        <f>TEXT(7901268000143,"00000000000000")</f>
        <v>07901268000143</v>
      </c>
      <c r="F628" t="s">
        <v>403</v>
      </c>
      <c r="G628" t="s">
        <v>14</v>
      </c>
      <c r="H628">
        <v>28040430</v>
      </c>
      <c r="I628" t="s">
        <v>416</v>
      </c>
      <c r="J628">
        <v>3</v>
      </c>
      <c r="K628">
        <v>24.48</v>
      </c>
    </row>
    <row r="629" spans="1:11" x14ac:dyDescent="0.3">
      <c r="A629">
        <v>2026</v>
      </c>
      <c r="B629">
        <v>1</v>
      </c>
      <c r="C629" t="s">
        <v>291</v>
      </c>
      <c r="D629" t="s">
        <v>292</v>
      </c>
      <c r="E629" t="str">
        <f>TEXT(7901268000143,"00000000000000")</f>
        <v>07901268000143</v>
      </c>
      <c r="F629" t="s">
        <v>403</v>
      </c>
      <c r="G629" t="s">
        <v>14</v>
      </c>
      <c r="H629">
        <v>28040481</v>
      </c>
      <c r="I629" t="s">
        <v>42</v>
      </c>
      <c r="J629">
        <v>26</v>
      </c>
      <c r="K629">
        <v>166.4</v>
      </c>
    </row>
    <row r="630" spans="1:11" x14ac:dyDescent="0.3">
      <c r="A630">
        <v>2026</v>
      </c>
      <c r="B630">
        <v>1</v>
      </c>
      <c r="C630" t="s">
        <v>291</v>
      </c>
      <c r="D630" t="s">
        <v>292</v>
      </c>
      <c r="E630" t="str">
        <f>TEXT(7901268000143,"00000000000000")</f>
        <v>07901268000143</v>
      </c>
      <c r="F630" t="s">
        <v>403</v>
      </c>
      <c r="G630" t="s">
        <v>14</v>
      </c>
      <c r="H630">
        <v>28040490</v>
      </c>
      <c r="I630" t="s">
        <v>43</v>
      </c>
      <c r="J630">
        <v>18</v>
      </c>
      <c r="K630">
        <v>38.159999999999997</v>
      </c>
    </row>
    <row r="631" spans="1:11" x14ac:dyDescent="0.3">
      <c r="A631">
        <v>2026</v>
      </c>
      <c r="B631">
        <v>1</v>
      </c>
      <c r="C631" t="s">
        <v>291</v>
      </c>
      <c r="D631" t="s">
        <v>292</v>
      </c>
      <c r="E631" t="str">
        <f>TEXT(7901268000143,"00000000000000")</f>
        <v>07901268000143</v>
      </c>
      <c r="F631" t="s">
        <v>403</v>
      </c>
      <c r="G631" t="s">
        <v>14</v>
      </c>
      <c r="H631">
        <v>28040694</v>
      </c>
      <c r="I631" t="s">
        <v>84</v>
      </c>
      <c r="J631">
        <v>1</v>
      </c>
      <c r="K631">
        <v>2.12</v>
      </c>
    </row>
    <row r="632" spans="1:11" x14ac:dyDescent="0.3">
      <c r="A632">
        <v>2026</v>
      </c>
      <c r="B632">
        <v>1</v>
      </c>
      <c r="C632" t="s">
        <v>291</v>
      </c>
      <c r="D632" t="s">
        <v>292</v>
      </c>
      <c r="E632" t="str">
        <f>TEXT(7901268000143,"00000000000000")</f>
        <v>07901268000143</v>
      </c>
      <c r="F632" t="s">
        <v>403</v>
      </c>
      <c r="G632" t="s">
        <v>14</v>
      </c>
      <c r="H632">
        <v>28040732</v>
      </c>
      <c r="I632" t="s">
        <v>100</v>
      </c>
      <c r="J632">
        <v>79</v>
      </c>
      <c r="K632">
        <v>303.36</v>
      </c>
    </row>
    <row r="633" spans="1:11" x14ac:dyDescent="0.3">
      <c r="A633">
        <v>2026</v>
      </c>
      <c r="B633">
        <v>1</v>
      </c>
      <c r="C633" t="s">
        <v>291</v>
      </c>
      <c r="D633" t="s">
        <v>292</v>
      </c>
      <c r="E633" t="str">
        <f>TEXT(7901268000143,"00000000000000")</f>
        <v>07901268000143</v>
      </c>
      <c r="F633" t="s">
        <v>403</v>
      </c>
      <c r="G633" t="s">
        <v>14</v>
      </c>
      <c r="H633">
        <v>28040791</v>
      </c>
      <c r="I633" t="s">
        <v>85</v>
      </c>
      <c r="J633">
        <v>57</v>
      </c>
      <c r="K633">
        <v>218.88</v>
      </c>
    </row>
    <row r="634" spans="1:11" x14ac:dyDescent="0.3">
      <c r="A634">
        <v>2026</v>
      </c>
      <c r="B634">
        <v>1</v>
      </c>
      <c r="C634" t="s">
        <v>291</v>
      </c>
      <c r="D634" t="s">
        <v>292</v>
      </c>
      <c r="E634" t="str">
        <f>TEXT(7901268000143,"00000000000000")</f>
        <v>07901268000143</v>
      </c>
      <c r="F634" t="s">
        <v>403</v>
      </c>
      <c r="G634" t="s">
        <v>14</v>
      </c>
      <c r="H634">
        <v>28041003</v>
      </c>
      <c r="I634" t="s">
        <v>417</v>
      </c>
      <c r="J634">
        <v>2</v>
      </c>
      <c r="K634">
        <v>57.6</v>
      </c>
    </row>
    <row r="635" spans="1:11" x14ac:dyDescent="0.3">
      <c r="A635">
        <v>2026</v>
      </c>
      <c r="B635">
        <v>1</v>
      </c>
      <c r="C635" t="s">
        <v>291</v>
      </c>
      <c r="D635" t="s">
        <v>292</v>
      </c>
      <c r="E635" t="str">
        <f>TEXT(7901268000143,"00000000000000")</f>
        <v>07901268000143</v>
      </c>
      <c r="F635" t="s">
        <v>403</v>
      </c>
      <c r="G635" t="s">
        <v>14</v>
      </c>
      <c r="H635">
        <v>28041097</v>
      </c>
      <c r="I635" t="s">
        <v>418</v>
      </c>
      <c r="J635">
        <v>1</v>
      </c>
      <c r="K635">
        <v>48</v>
      </c>
    </row>
    <row r="636" spans="1:11" x14ac:dyDescent="0.3">
      <c r="A636">
        <v>2026</v>
      </c>
      <c r="B636">
        <v>1</v>
      </c>
      <c r="C636" t="s">
        <v>291</v>
      </c>
      <c r="D636" t="s">
        <v>292</v>
      </c>
      <c r="E636" t="str">
        <f>TEXT(7901268000143,"00000000000000")</f>
        <v>07901268000143</v>
      </c>
      <c r="F636" t="s">
        <v>403</v>
      </c>
      <c r="G636" t="s">
        <v>14</v>
      </c>
      <c r="H636">
        <v>28041100</v>
      </c>
      <c r="I636" t="s">
        <v>419</v>
      </c>
      <c r="J636">
        <v>1</v>
      </c>
      <c r="K636">
        <v>47.42</v>
      </c>
    </row>
    <row r="637" spans="1:11" x14ac:dyDescent="0.3">
      <c r="A637">
        <v>2026</v>
      </c>
      <c r="B637">
        <v>1</v>
      </c>
      <c r="C637" t="s">
        <v>291</v>
      </c>
      <c r="D637" t="s">
        <v>292</v>
      </c>
      <c r="E637" t="str">
        <f>TEXT(7901268000143,"00000000000000")</f>
        <v>07901268000143</v>
      </c>
      <c r="F637" t="s">
        <v>403</v>
      </c>
      <c r="G637" t="s">
        <v>14</v>
      </c>
      <c r="H637">
        <v>28050029</v>
      </c>
      <c r="I637" t="s">
        <v>420</v>
      </c>
      <c r="J637">
        <v>1</v>
      </c>
      <c r="K637">
        <v>44</v>
      </c>
    </row>
    <row r="638" spans="1:11" x14ac:dyDescent="0.3">
      <c r="A638">
        <v>2026</v>
      </c>
      <c r="B638">
        <v>1</v>
      </c>
      <c r="C638" t="s">
        <v>291</v>
      </c>
      <c r="D638" t="s">
        <v>292</v>
      </c>
      <c r="E638" t="str">
        <f>TEXT(7901268000143,"00000000000000")</f>
        <v>07901268000143</v>
      </c>
      <c r="F638" t="s">
        <v>403</v>
      </c>
      <c r="G638" t="s">
        <v>14</v>
      </c>
      <c r="H638">
        <v>28050037</v>
      </c>
      <c r="I638" t="s">
        <v>421</v>
      </c>
      <c r="J638">
        <v>1</v>
      </c>
      <c r="K638">
        <v>28</v>
      </c>
    </row>
    <row r="639" spans="1:11" x14ac:dyDescent="0.3">
      <c r="A639">
        <v>2026</v>
      </c>
      <c r="B639">
        <v>1</v>
      </c>
      <c r="C639" t="s">
        <v>291</v>
      </c>
      <c r="D639" t="s">
        <v>292</v>
      </c>
      <c r="E639" t="str">
        <f>TEXT(7901268000143,"00000000000000")</f>
        <v>07901268000143</v>
      </c>
      <c r="F639" t="s">
        <v>403</v>
      </c>
      <c r="G639" t="s">
        <v>14</v>
      </c>
      <c r="H639">
        <v>28050142</v>
      </c>
      <c r="I639" t="s">
        <v>44</v>
      </c>
      <c r="J639">
        <v>3</v>
      </c>
      <c r="K639">
        <v>51.36</v>
      </c>
    </row>
    <row r="640" spans="1:11" x14ac:dyDescent="0.3">
      <c r="A640">
        <v>2026</v>
      </c>
      <c r="B640">
        <v>1</v>
      </c>
      <c r="C640" t="s">
        <v>291</v>
      </c>
      <c r="D640" t="s">
        <v>292</v>
      </c>
      <c r="E640" t="str">
        <f>TEXT(7901268000143,"00000000000000")</f>
        <v>07901268000143</v>
      </c>
      <c r="F640" t="s">
        <v>403</v>
      </c>
      <c r="G640" t="s">
        <v>14</v>
      </c>
      <c r="H640">
        <v>28050215</v>
      </c>
      <c r="I640" t="s">
        <v>422</v>
      </c>
      <c r="J640">
        <v>1</v>
      </c>
      <c r="K640">
        <v>23.36</v>
      </c>
    </row>
    <row r="641" spans="1:11" x14ac:dyDescent="0.3">
      <c r="A641">
        <v>2026</v>
      </c>
      <c r="B641">
        <v>1</v>
      </c>
      <c r="C641" t="s">
        <v>291</v>
      </c>
      <c r="D641" t="s">
        <v>292</v>
      </c>
      <c r="E641" t="str">
        <f>TEXT(7901268000143,"00000000000000")</f>
        <v>07901268000143</v>
      </c>
      <c r="F641" t="s">
        <v>403</v>
      </c>
      <c r="G641" t="s">
        <v>14</v>
      </c>
      <c r="H641">
        <v>28050223</v>
      </c>
      <c r="I641" t="s">
        <v>101</v>
      </c>
      <c r="J641">
        <v>1</v>
      </c>
      <c r="K641">
        <v>24.4</v>
      </c>
    </row>
    <row r="642" spans="1:11" x14ac:dyDescent="0.3">
      <c r="A642">
        <v>2026</v>
      </c>
      <c r="B642">
        <v>1</v>
      </c>
      <c r="C642" t="s">
        <v>291</v>
      </c>
      <c r="D642" t="s">
        <v>292</v>
      </c>
      <c r="E642" t="str">
        <f>TEXT(7901268000143,"00000000000000")</f>
        <v>07901268000143</v>
      </c>
      <c r="F642" t="s">
        <v>403</v>
      </c>
      <c r="G642" t="s">
        <v>14</v>
      </c>
      <c r="H642">
        <v>28050258</v>
      </c>
      <c r="I642" t="s">
        <v>423</v>
      </c>
      <c r="J642">
        <v>1</v>
      </c>
      <c r="K642">
        <v>24.8</v>
      </c>
    </row>
    <row r="643" spans="1:11" x14ac:dyDescent="0.3">
      <c r="A643">
        <v>2026</v>
      </c>
      <c r="B643">
        <v>1</v>
      </c>
      <c r="C643" t="s">
        <v>291</v>
      </c>
      <c r="D643" t="s">
        <v>292</v>
      </c>
      <c r="E643" t="str">
        <f>TEXT(7901268000143,"00000000000000")</f>
        <v>07901268000143</v>
      </c>
      <c r="F643" t="s">
        <v>403</v>
      </c>
      <c r="G643" t="s">
        <v>14</v>
      </c>
      <c r="H643">
        <v>28050274</v>
      </c>
      <c r="I643" t="s">
        <v>424</v>
      </c>
      <c r="J643">
        <v>1</v>
      </c>
      <c r="K643">
        <v>18.239999999999998</v>
      </c>
    </row>
    <row r="644" spans="1:11" x14ac:dyDescent="0.3">
      <c r="A644">
        <v>2026</v>
      </c>
      <c r="B644">
        <v>1</v>
      </c>
      <c r="C644" t="s">
        <v>291</v>
      </c>
      <c r="D644" t="s">
        <v>292</v>
      </c>
      <c r="E644" t="str">
        <f>TEXT(7901268000143,"00000000000000")</f>
        <v>07901268000143</v>
      </c>
      <c r="F644" t="s">
        <v>403</v>
      </c>
      <c r="G644" t="s">
        <v>14</v>
      </c>
      <c r="H644">
        <v>28050304</v>
      </c>
      <c r="I644" t="s">
        <v>117</v>
      </c>
      <c r="J644">
        <v>1</v>
      </c>
      <c r="K644">
        <v>22.56</v>
      </c>
    </row>
    <row r="645" spans="1:11" x14ac:dyDescent="0.3">
      <c r="A645">
        <v>2026</v>
      </c>
      <c r="B645">
        <v>1</v>
      </c>
      <c r="C645" t="s">
        <v>291</v>
      </c>
      <c r="D645" t="s">
        <v>292</v>
      </c>
      <c r="E645" t="str">
        <f>TEXT(7901268000143,"00000000000000")</f>
        <v>07901268000143</v>
      </c>
      <c r="F645" t="s">
        <v>403</v>
      </c>
      <c r="G645" t="s">
        <v>14</v>
      </c>
      <c r="H645">
        <v>28050312</v>
      </c>
      <c r="I645" t="s">
        <v>46</v>
      </c>
      <c r="J645">
        <v>1</v>
      </c>
      <c r="K645">
        <v>16</v>
      </c>
    </row>
    <row r="646" spans="1:11" x14ac:dyDescent="0.3">
      <c r="A646">
        <v>2026</v>
      </c>
      <c r="B646">
        <v>1</v>
      </c>
      <c r="C646" t="s">
        <v>291</v>
      </c>
      <c r="D646" t="s">
        <v>292</v>
      </c>
      <c r="E646" t="str">
        <f>TEXT(7901268000143,"00000000000000")</f>
        <v>07901268000143</v>
      </c>
      <c r="F646" t="s">
        <v>403</v>
      </c>
      <c r="G646" t="s">
        <v>14</v>
      </c>
      <c r="H646">
        <v>28050347</v>
      </c>
      <c r="I646" t="s">
        <v>103</v>
      </c>
      <c r="J646">
        <v>2</v>
      </c>
      <c r="K646">
        <v>26</v>
      </c>
    </row>
    <row r="647" spans="1:11" x14ac:dyDescent="0.3">
      <c r="A647">
        <v>2026</v>
      </c>
      <c r="B647">
        <v>1</v>
      </c>
      <c r="C647" t="s">
        <v>291</v>
      </c>
      <c r="D647" t="s">
        <v>292</v>
      </c>
      <c r="E647" t="str">
        <f>TEXT(7901268000143,"00000000000000")</f>
        <v>07901268000143</v>
      </c>
      <c r="F647" t="s">
        <v>403</v>
      </c>
      <c r="G647" t="s">
        <v>14</v>
      </c>
      <c r="H647">
        <v>28050380</v>
      </c>
      <c r="I647" t="s">
        <v>48</v>
      </c>
      <c r="J647">
        <v>1</v>
      </c>
      <c r="K647">
        <v>16</v>
      </c>
    </row>
    <row r="648" spans="1:11" x14ac:dyDescent="0.3">
      <c r="A648">
        <v>2026</v>
      </c>
      <c r="B648">
        <v>1</v>
      </c>
      <c r="C648" t="s">
        <v>291</v>
      </c>
      <c r="D648" t="s">
        <v>292</v>
      </c>
      <c r="E648" t="str">
        <f>TEXT(7901268000143,"00000000000000")</f>
        <v>07901268000143</v>
      </c>
      <c r="F648" t="s">
        <v>403</v>
      </c>
      <c r="G648" t="s">
        <v>14</v>
      </c>
      <c r="H648">
        <v>28050436</v>
      </c>
      <c r="I648" t="s">
        <v>104</v>
      </c>
      <c r="J648">
        <v>1</v>
      </c>
      <c r="K648">
        <v>22.4</v>
      </c>
    </row>
    <row r="649" spans="1:11" x14ac:dyDescent="0.3">
      <c r="A649">
        <v>2026</v>
      </c>
      <c r="B649">
        <v>1</v>
      </c>
      <c r="C649" t="s">
        <v>291</v>
      </c>
      <c r="D649" t="s">
        <v>292</v>
      </c>
      <c r="E649" t="str">
        <f>TEXT(7901268000143,"00000000000000")</f>
        <v>07901268000143</v>
      </c>
      <c r="F649" t="s">
        <v>403</v>
      </c>
      <c r="G649" t="s">
        <v>14</v>
      </c>
      <c r="H649">
        <v>28050690</v>
      </c>
      <c r="I649" t="s">
        <v>49</v>
      </c>
      <c r="J649">
        <v>8</v>
      </c>
      <c r="K649">
        <v>185.6</v>
      </c>
    </row>
    <row r="650" spans="1:11" x14ac:dyDescent="0.3">
      <c r="A650">
        <v>2026</v>
      </c>
      <c r="B650">
        <v>1</v>
      </c>
      <c r="C650" t="s">
        <v>291</v>
      </c>
      <c r="D650" t="s">
        <v>292</v>
      </c>
      <c r="E650" t="str">
        <f>TEXT(7901268000143,"00000000000000")</f>
        <v>07901268000143</v>
      </c>
      <c r="F650" t="s">
        <v>403</v>
      </c>
      <c r="G650" t="s">
        <v>14</v>
      </c>
      <c r="H650">
        <v>28050703</v>
      </c>
      <c r="I650" t="s">
        <v>50</v>
      </c>
      <c r="J650">
        <v>5</v>
      </c>
      <c r="K650">
        <v>96</v>
      </c>
    </row>
    <row r="651" spans="1:11" x14ac:dyDescent="0.3">
      <c r="A651">
        <v>2026</v>
      </c>
      <c r="B651">
        <v>1</v>
      </c>
      <c r="C651" t="s">
        <v>291</v>
      </c>
      <c r="D651" t="s">
        <v>292</v>
      </c>
      <c r="E651" t="str">
        <f>TEXT(7901268000143,"00000000000000")</f>
        <v>07901268000143</v>
      </c>
      <c r="F651" t="s">
        <v>403</v>
      </c>
      <c r="G651" t="s">
        <v>14</v>
      </c>
      <c r="H651">
        <v>28050720</v>
      </c>
      <c r="I651" t="s">
        <v>51</v>
      </c>
      <c r="J651">
        <v>5</v>
      </c>
      <c r="K651">
        <v>96</v>
      </c>
    </row>
    <row r="652" spans="1:11" x14ac:dyDescent="0.3">
      <c r="A652">
        <v>2026</v>
      </c>
      <c r="B652">
        <v>1</v>
      </c>
      <c r="C652" t="s">
        <v>291</v>
      </c>
      <c r="D652" t="s">
        <v>292</v>
      </c>
      <c r="E652" t="str">
        <f>TEXT(7901268000143,"00000000000000")</f>
        <v>07901268000143</v>
      </c>
      <c r="F652" t="s">
        <v>403</v>
      </c>
      <c r="G652" t="s">
        <v>14</v>
      </c>
      <c r="H652">
        <v>28050738</v>
      </c>
      <c r="I652" t="s">
        <v>105</v>
      </c>
      <c r="J652">
        <v>1</v>
      </c>
      <c r="K652">
        <v>14.96</v>
      </c>
    </row>
    <row r="653" spans="1:11" x14ac:dyDescent="0.3">
      <c r="A653">
        <v>2026</v>
      </c>
      <c r="B653">
        <v>1</v>
      </c>
      <c r="C653" t="s">
        <v>291</v>
      </c>
      <c r="D653" t="s">
        <v>292</v>
      </c>
      <c r="E653" t="str">
        <f>TEXT(7901268000143,"00000000000000")</f>
        <v>07901268000143</v>
      </c>
      <c r="F653" t="s">
        <v>403</v>
      </c>
      <c r="G653" t="s">
        <v>14</v>
      </c>
      <c r="H653">
        <v>28050754</v>
      </c>
      <c r="I653" t="s">
        <v>119</v>
      </c>
      <c r="J653">
        <v>7</v>
      </c>
      <c r="K653">
        <v>314.16000000000003</v>
      </c>
    </row>
    <row r="654" spans="1:11" x14ac:dyDescent="0.3">
      <c r="A654">
        <v>2026</v>
      </c>
      <c r="B654">
        <v>1</v>
      </c>
      <c r="C654" t="s">
        <v>291</v>
      </c>
      <c r="D654" t="s">
        <v>292</v>
      </c>
      <c r="E654" t="str">
        <f>TEXT(7901268000143,"00000000000000")</f>
        <v>07901268000143</v>
      </c>
      <c r="F654" t="s">
        <v>403</v>
      </c>
      <c r="G654" t="s">
        <v>14</v>
      </c>
      <c r="H654">
        <v>28050770</v>
      </c>
      <c r="I654" t="s">
        <v>53</v>
      </c>
      <c r="J654">
        <v>6</v>
      </c>
      <c r="K654">
        <v>192</v>
      </c>
    </row>
    <row r="655" spans="1:11" x14ac:dyDescent="0.3">
      <c r="A655">
        <v>2026</v>
      </c>
      <c r="B655">
        <v>1</v>
      </c>
      <c r="C655" t="s">
        <v>291</v>
      </c>
      <c r="D655" t="s">
        <v>292</v>
      </c>
      <c r="E655" t="str">
        <f>TEXT(7901268000143,"00000000000000")</f>
        <v>07901268000143</v>
      </c>
      <c r="F655" t="s">
        <v>403</v>
      </c>
      <c r="G655" t="s">
        <v>14</v>
      </c>
      <c r="H655">
        <v>28050797</v>
      </c>
      <c r="I655" t="s">
        <v>425</v>
      </c>
      <c r="J655">
        <v>1</v>
      </c>
      <c r="K655">
        <v>43.2</v>
      </c>
    </row>
    <row r="656" spans="1:11" x14ac:dyDescent="0.3">
      <c r="A656">
        <v>2026</v>
      </c>
      <c r="B656">
        <v>1</v>
      </c>
      <c r="C656" t="s">
        <v>291</v>
      </c>
      <c r="D656" t="s">
        <v>292</v>
      </c>
      <c r="E656" t="str">
        <f>TEXT(7901268000143,"00000000000000")</f>
        <v>07901268000143</v>
      </c>
      <c r="F656" t="s">
        <v>403</v>
      </c>
      <c r="G656" t="s">
        <v>14</v>
      </c>
      <c r="H656">
        <v>28050800</v>
      </c>
      <c r="I656" t="s">
        <v>54</v>
      </c>
      <c r="J656">
        <v>1</v>
      </c>
      <c r="K656">
        <v>32</v>
      </c>
    </row>
    <row r="657" spans="1:11" x14ac:dyDescent="0.3">
      <c r="A657">
        <v>2026</v>
      </c>
      <c r="B657">
        <v>1</v>
      </c>
      <c r="C657" t="s">
        <v>291</v>
      </c>
      <c r="D657" t="s">
        <v>292</v>
      </c>
      <c r="E657" t="str">
        <f>TEXT(7901268000143,"00000000000000")</f>
        <v>07901268000143</v>
      </c>
      <c r="F657" t="s">
        <v>403</v>
      </c>
      <c r="G657" t="s">
        <v>14</v>
      </c>
      <c r="H657">
        <v>28050827</v>
      </c>
      <c r="I657" t="s">
        <v>55</v>
      </c>
      <c r="J657">
        <v>1</v>
      </c>
      <c r="K657">
        <v>18.16</v>
      </c>
    </row>
    <row r="658" spans="1:11" x14ac:dyDescent="0.3">
      <c r="A658">
        <v>2026</v>
      </c>
      <c r="B658">
        <v>1</v>
      </c>
      <c r="C658" t="s">
        <v>291</v>
      </c>
      <c r="D658" t="s">
        <v>292</v>
      </c>
      <c r="E658" t="str">
        <f>TEXT(7901268000143,"00000000000000")</f>
        <v>07901268000143</v>
      </c>
      <c r="F658" t="s">
        <v>403</v>
      </c>
      <c r="G658" t="s">
        <v>14</v>
      </c>
      <c r="H658">
        <v>28050924</v>
      </c>
      <c r="I658" t="s">
        <v>426</v>
      </c>
      <c r="J658">
        <v>2</v>
      </c>
      <c r="K658">
        <v>56</v>
      </c>
    </row>
    <row r="659" spans="1:11" x14ac:dyDescent="0.3">
      <c r="A659">
        <v>2026</v>
      </c>
      <c r="B659">
        <v>1</v>
      </c>
      <c r="C659" t="s">
        <v>291</v>
      </c>
      <c r="D659" t="s">
        <v>292</v>
      </c>
      <c r="E659" t="str">
        <f>TEXT(7901268000143,"00000000000000")</f>
        <v>07901268000143</v>
      </c>
      <c r="F659" t="s">
        <v>403</v>
      </c>
      <c r="G659" t="s">
        <v>14</v>
      </c>
      <c r="H659">
        <v>28050975</v>
      </c>
      <c r="I659" t="s">
        <v>427</v>
      </c>
      <c r="J659">
        <v>2</v>
      </c>
      <c r="K659">
        <v>107.2</v>
      </c>
    </row>
    <row r="660" spans="1:11" x14ac:dyDescent="0.3">
      <c r="A660">
        <v>2026</v>
      </c>
      <c r="B660">
        <v>1</v>
      </c>
      <c r="C660" t="s">
        <v>291</v>
      </c>
      <c r="D660" t="s">
        <v>292</v>
      </c>
      <c r="E660" t="str">
        <f>TEXT(7901268000143,"00000000000000")</f>
        <v>07901268000143</v>
      </c>
      <c r="F660" t="s">
        <v>403</v>
      </c>
      <c r="G660" t="s">
        <v>14</v>
      </c>
      <c r="H660">
        <v>28050983</v>
      </c>
      <c r="I660" t="s">
        <v>120</v>
      </c>
      <c r="J660">
        <v>4</v>
      </c>
      <c r="K660">
        <v>200</v>
      </c>
    </row>
    <row r="661" spans="1:11" x14ac:dyDescent="0.3">
      <c r="A661">
        <v>2026</v>
      </c>
      <c r="B661">
        <v>1</v>
      </c>
      <c r="C661" t="s">
        <v>291</v>
      </c>
      <c r="D661" t="s">
        <v>292</v>
      </c>
      <c r="E661" t="str">
        <f>TEXT(7901268000143,"00000000000000")</f>
        <v>07901268000143</v>
      </c>
      <c r="F661" t="s">
        <v>403</v>
      </c>
      <c r="G661" t="s">
        <v>14</v>
      </c>
      <c r="H661">
        <v>28050991</v>
      </c>
      <c r="I661" t="s">
        <v>56</v>
      </c>
      <c r="J661">
        <v>141</v>
      </c>
      <c r="K661">
        <v>4286.3999999999996</v>
      </c>
    </row>
    <row r="662" spans="1:11" x14ac:dyDescent="0.3">
      <c r="A662">
        <v>2026</v>
      </c>
      <c r="B662">
        <v>1</v>
      </c>
      <c r="C662" t="s">
        <v>291</v>
      </c>
      <c r="D662" t="s">
        <v>292</v>
      </c>
      <c r="E662" t="str">
        <f>TEXT(7901268000143,"00000000000000")</f>
        <v>07901268000143</v>
      </c>
      <c r="F662" t="s">
        <v>403</v>
      </c>
      <c r="G662" t="s">
        <v>14</v>
      </c>
      <c r="H662">
        <v>28051033</v>
      </c>
      <c r="I662" t="s">
        <v>428</v>
      </c>
      <c r="J662">
        <v>1</v>
      </c>
      <c r="K662">
        <v>48</v>
      </c>
    </row>
    <row r="663" spans="1:11" x14ac:dyDescent="0.3">
      <c r="A663">
        <v>2026</v>
      </c>
      <c r="B663">
        <v>1</v>
      </c>
      <c r="C663" t="s">
        <v>291</v>
      </c>
      <c r="D663" t="s">
        <v>292</v>
      </c>
      <c r="E663" t="str">
        <f>TEXT(7901268000143,"00000000000000")</f>
        <v>07901268000143</v>
      </c>
      <c r="F663" t="s">
        <v>403</v>
      </c>
      <c r="G663" t="s">
        <v>14</v>
      </c>
      <c r="H663">
        <v>28060040</v>
      </c>
      <c r="I663" t="s">
        <v>429</v>
      </c>
      <c r="J663">
        <v>4</v>
      </c>
      <c r="K663">
        <v>34.24</v>
      </c>
    </row>
    <row r="664" spans="1:11" x14ac:dyDescent="0.3">
      <c r="A664">
        <v>2026</v>
      </c>
      <c r="B664">
        <v>1</v>
      </c>
      <c r="C664" t="s">
        <v>291</v>
      </c>
      <c r="D664" t="s">
        <v>292</v>
      </c>
      <c r="E664" t="str">
        <f>TEXT(7901268000143,"00000000000000")</f>
        <v>07901268000143</v>
      </c>
      <c r="F664" t="s">
        <v>403</v>
      </c>
      <c r="G664" t="s">
        <v>14</v>
      </c>
      <c r="H664">
        <v>28060067</v>
      </c>
      <c r="I664" t="s">
        <v>430</v>
      </c>
      <c r="J664">
        <v>10</v>
      </c>
      <c r="K664">
        <v>213.6</v>
      </c>
    </row>
    <row r="665" spans="1:11" x14ac:dyDescent="0.3">
      <c r="A665">
        <v>2026</v>
      </c>
      <c r="B665">
        <v>1</v>
      </c>
      <c r="C665" t="s">
        <v>291</v>
      </c>
      <c r="D665" t="s">
        <v>292</v>
      </c>
      <c r="E665" t="str">
        <f>TEXT(7901268000143,"00000000000000")</f>
        <v>07901268000143</v>
      </c>
      <c r="F665" t="s">
        <v>403</v>
      </c>
      <c r="G665" t="s">
        <v>14</v>
      </c>
      <c r="H665">
        <v>28060083</v>
      </c>
      <c r="I665" t="s">
        <v>86</v>
      </c>
      <c r="J665">
        <v>5</v>
      </c>
      <c r="K665">
        <v>85.6</v>
      </c>
    </row>
    <row r="666" spans="1:11" x14ac:dyDescent="0.3">
      <c r="A666">
        <v>2026</v>
      </c>
      <c r="B666">
        <v>1</v>
      </c>
      <c r="C666" t="s">
        <v>291</v>
      </c>
      <c r="D666" t="s">
        <v>292</v>
      </c>
      <c r="E666" t="str">
        <f>TEXT(7901268000143,"00000000000000")</f>
        <v>07901268000143</v>
      </c>
      <c r="F666" t="s">
        <v>403</v>
      </c>
      <c r="G666" t="s">
        <v>14</v>
      </c>
      <c r="H666">
        <v>28060105</v>
      </c>
      <c r="I666" t="s">
        <v>87</v>
      </c>
      <c r="J666">
        <v>1</v>
      </c>
      <c r="K666">
        <v>21.4</v>
      </c>
    </row>
    <row r="667" spans="1:11" x14ac:dyDescent="0.3">
      <c r="A667">
        <v>2026</v>
      </c>
      <c r="B667">
        <v>1</v>
      </c>
      <c r="C667" t="s">
        <v>291</v>
      </c>
      <c r="D667" t="s">
        <v>292</v>
      </c>
      <c r="E667" t="str">
        <f>TEXT(7901268000143,"00000000000000")</f>
        <v>07901268000143</v>
      </c>
      <c r="F667" t="s">
        <v>403</v>
      </c>
      <c r="G667" t="s">
        <v>14</v>
      </c>
      <c r="H667">
        <v>28060121</v>
      </c>
      <c r="I667" t="s">
        <v>431</v>
      </c>
      <c r="J667">
        <v>3</v>
      </c>
      <c r="K667">
        <v>25.44</v>
      </c>
    </row>
    <row r="668" spans="1:11" x14ac:dyDescent="0.3">
      <c r="A668">
        <v>2026</v>
      </c>
      <c r="B668">
        <v>1</v>
      </c>
      <c r="C668" t="s">
        <v>291</v>
      </c>
      <c r="D668" t="s">
        <v>292</v>
      </c>
      <c r="E668" t="str">
        <f>TEXT(7901268000143,"00000000000000")</f>
        <v>07901268000143</v>
      </c>
      <c r="F668" t="s">
        <v>403</v>
      </c>
      <c r="G668" t="s">
        <v>14</v>
      </c>
      <c r="H668">
        <v>28060130</v>
      </c>
      <c r="I668" t="s">
        <v>432</v>
      </c>
      <c r="J668">
        <v>3</v>
      </c>
      <c r="K668">
        <v>46.11</v>
      </c>
    </row>
    <row r="669" spans="1:11" x14ac:dyDescent="0.3">
      <c r="A669">
        <v>2026</v>
      </c>
      <c r="B669">
        <v>1</v>
      </c>
      <c r="C669" t="s">
        <v>291</v>
      </c>
      <c r="D669" t="s">
        <v>292</v>
      </c>
      <c r="E669" t="str">
        <f>TEXT(7901268000143,"00000000000000")</f>
        <v>07901268000143</v>
      </c>
      <c r="F669" t="s">
        <v>403</v>
      </c>
      <c r="G669" t="s">
        <v>14</v>
      </c>
      <c r="H669">
        <v>28060156</v>
      </c>
      <c r="I669" t="s">
        <v>57</v>
      </c>
      <c r="J669">
        <v>3</v>
      </c>
      <c r="K669">
        <v>67.92</v>
      </c>
    </row>
    <row r="670" spans="1:11" x14ac:dyDescent="0.3">
      <c r="A670">
        <v>2026</v>
      </c>
      <c r="B670">
        <v>1</v>
      </c>
      <c r="C670" t="s">
        <v>291</v>
      </c>
      <c r="D670" t="s">
        <v>292</v>
      </c>
      <c r="E670" t="str">
        <f>TEXT(7901268000143,"00000000000000")</f>
        <v>07901268000143</v>
      </c>
      <c r="F670" t="s">
        <v>403</v>
      </c>
      <c r="G670" t="s">
        <v>14</v>
      </c>
      <c r="H670">
        <v>28060180</v>
      </c>
      <c r="I670" t="s">
        <v>107</v>
      </c>
      <c r="J670">
        <v>1</v>
      </c>
      <c r="K670">
        <v>5.4</v>
      </c>
    </row>
    <row r="671" spans="1:11" x14ac:dyDescent="0.3">
      <c r="A671">
        <v>2026</v>
      </c>
      <c r="B671">
        <v>1</v>
      </c>
      <c r="C671" t="s">
        <v>291</v>
      </c>
      <c r="D671" t="s">
        <v>292</v>
      </c>
      <c r="E671" t="str">
        <f>TEXT(7901268000143,"00000000000000")</f>
        <v>07901268000143</v>
      </c>
      <c r="F671" t="s">
        <v>403</v>
      </c>
      <c r="G671" t="s">
        <v>14</v>
      </c>
      <c r="H671">
        <v>28060210</v>
      </c>
      <c r="I671" t="s">
        <v>58</v>
      </c>
      <c r="J671">
        <v>2</v>
      </c>
      <c r="K671">
        <v>30.4</v>
      </c>
    </row>
    <row r="672" spans="1:11" x14ac:dyDescent="0.3">
      <c r="A672">
        <v>2026</v>
      </c>
      <c r="B672">
        <v>1</v>
      </c>
      <c r="C672" t="s">
        <v>291</v>
      </c>
      <c r="D672" t="s">
        <v>292</v>
      </c>
      <c r="E672" t="str">
        <f>TEXT(7901268000143,"00000000000000")</f>
        <v>07901268000143</v>
      </c>
      <c r="F672" t="s">
        <v>403</v>
      </c>
      <c r="G672" t="s">
        <v>14</v>
      </c>
      <c r="H672">
        <v>28060229</v>
      </c>
      <c r="I672" t="s">
        <v>89</v>
      </c>
      <c r="J672">
        <v>24</v>
      </c>
      <c r="K672">
        <v>960</v>
      </c>
    </row>
    <row r="673" spans="1:11" x14ac:dyDescent="0.3">
      <c r="A673">
        <v>2026</v>
      </c>
      <c r="B673">
        <v>1</v>
      </c>
      <c r="C673" t="s">
        <v>291</v>
      </c>
      <c r="D673" t="s">
        <v>292</v>
      </c>
      <c r="E673" t="str">
        <f>TEXT(7901268000143,"00000000000000")</f>
        <v>07901268000143</v>
      </c>
      <c r="F673" t="s">
        <v>403</v>
      </c>
      <c r="G673" t="s">
        <v>14</v>
      </c>
      <c r="H673">
        <v>28060237</v>
      </c>
      <c r="I673" t="s">
        <v>433</v>
      </c>
      <c r="J673">
        <v>1</v>
      </c>
      <c r="K673">
        <v>21.2</v>
      </c>
    </row>
    <row r="674" spans="1:11" x14ac:dyDescent="0.3">
      <c r="A674">
        <v>2026</v>
      </c>
      <c r="B674">
        <v>1</v>
      </c>
      <c r="C674" t="s">
        <v>291</v>
      </c>
      <c r="D674" t="s">
        <v>292</v>
      </c>
      <c r="E674" t="str">
        <f>TEXT(7901268000143,"00000000000000")</f>
        <v>07901268000143</v>
      </c>
      <c r="F674" t="s">
        <v>403</v>
      </c>
      <c r="G674" t="s">
        <v>14</v>
      </c>
      <c r="H674">
        <v>28060318</v>
      </c>
      <c r="I674" t="s">
        <v>434</v>
      </c>
      <c r="J674">
        <v>1</v>
      </c>
      <c r="K674">
        <v>10.29</v>
      </c>
    </row>
    <row r="675" spans="1:11" x14ac:dyDescent="0.3">
      <c r="A675">
        <v>2026</v>
      </c>
      <c r="B675">
        <v>1</v>
      </c>
      <c r="C675" t="s">
        <v>291</v>
      </c>
      <c r="D675" t="s">
        <v>292</v>
      </c>
      <c r="E675" t="str">
        <f>TEXT(7901268000143,"00000000000000")</f>
        <v>07901268000143</v>
      </c>
      <c r="F675" t="s">
        <v>403</v>
      </c>
      <c r="G675" t="s">
        <v>14</v>
      </c>
      <c r="H675">
        <v>28060504</v>
      </c>
      <c r="I675" t="s">
        <v>59</v>
      </c>
      <c r="J675">
        <v>8</v>
      </c>
      <c r="K675">
        <v>43.2</v>
      </c>
    </row>
    <row r="676" spans="1:11" x14ac:dyDescent="0.3">
      <c r="A676">
        <v>2026</v>
      </c>
      <c r="B676">
        <v>1</v>
      </c>
      <c r="C676" t="s">
        <v>291</v>
      </c>
      <c r="D676" t="s">
        <v>292</v>
      </c>
      <c r="E676" t="str">
        <f>TEXT(7901268000143,"00000000000000")</f>
        <v>07901268000143</v>
      </c>
      <c r="F676" t="s">
        <v>403</v>
      </c>
      <c r="G676" t="s">
        <v>14</v>
      </c>
      <c r="H676">
        <v>28060598</v>
      </c>
      <c r="I676" t="s">
        <v>435</v>
      </c>
      <c r="J676">
        <v>2</v>
      </c>
      <c r="K676">
        <v>21.2</v>
      </c>
    </row>
    <row r="677" spans="1:11" x14ac:dyDescent="0.3">
      <c r="A677">
        <v>2026</v>
      </c>
      <c r="B677">
        <v>1</v>
      </c>
      <c r="C677" t="s">
        <v>291</v>
      </c>
      <c r="D677" t="s">
        <v>292</v>
      </c>
      <c r="E677" t="str">
        <f>TEXT(7901268000143,"00000000000000")</f>
        <v>07901268000143</v>
      </c>
      <c r="F677" t="s">
        <v>403</v>
      </c>
      <c r="G677" t="s">
        <v>14</v>
      </c>
      <c r="H677">
        <v>28060601</v>
      </c>
      <c r="I677" t="s">
        <v>60</v>
      </c>
      <c r="J677">
        <v>3</v>
      </c>
      <c r="K677">
        <v>42</v>
      </c>
    </row>
    <row r="678" spans="1:11" x14ac:dyDescent="0.3">
      <c r="A678">
        <v>2026</v>
      </c>
      <c r="B678">
        <v>1</v>
      </c>
      <c r="C678" t="s">
        <v>291</v>
      </c>
      <c r="D678" t="s">
        <v>292</v>
      </c>
      <c r="E678" t="str">
        <f>TEXT(7901268000143,"00000000000000")</f>
        <v>07901268000143</v>
      </c>
      <c r="F678" t="s">
        <v>403</v>
      </c>
      <c r="G678" t="s">
        <v>14</v>
      </c>
      <c r="H678">
        <v>28060610</v>
      </c>
      <c r="I678" t="s">
        <v>436</v>
      </c>
      <c r="J678">
        <v>3</v>
      </c>
      <c r="K678">
        <v>31.8</v>
      </c>
    </row>
    <row r="679" spans="1:11" x14ac:dyDescent="0.3">
      <c r="A679">
        <v>2026</v>
      </c>
      <c r="B679">
        <v>1</v>
      </c>
      <c r="C679" t="s">
        <v>291</v>
      </c>
      <c r="D679" t="s">
        <v>292</v>
      </c>
      <c r="E679" t="str">
        <f>TEXT(7901268000143,"00000000000000")</f>
        <v>07901268000143</v>
      </c>
      <c r="F679" t="s">
        <v>403</v>
      </c>
      <c r="G679" t="s">
        <v>14</v>
      </c>
      <c r="H679">
        <v>28060628</v>
      </c>
      <c r="I679" t="s">
        <v>437</v>
      </c>
      <c r="J679">
        <v>3</v>
      </c>
      <c r="K679">
        <v>31.8</v>
      </c>
    </row>
    <row r="680" spans="1:11" x14ac:dyDescent="0.3">
      <c r="A680">
        <v>2026</v>
      </c>
      <c r="B680">
        <v>1</v>
      </c>
      <c r="C680" t="s">
        <v>291</v>
      </c>
      <c r="D680" t="s">
        <v>292</v>
      </c>
      <c r="E680" t="str">
        <f>TEXT(7901268000143,"00000000000000")</f>
        <v>07901268000143</v>
      </c>
      <c r="F680" t="s">
        <v>403</v>
      </c>
      <c r="G680" t="s">
        <v>14</v>
      </c>
      <c r="H680">
        <v>28060865</v>
      </c>
      <c r="I680" t="s">
        <v>108</v>
      </c>
      <c r="J680">
        <v>20</v>
      </c>
      <c r="K680">
        <v>288</v>
      </c>
    </row>
    <row r="681" spans="1:11" x14ac:dyDescent="0.3">
      <c r="A681">
        <v>2026</v>
      </c>
      <c r="B681">
        <v>1</v>
      </c>
      <c r="C681" t="s">
        <v>291</v>
      </c>
      <c r="D681" t="s">
        <v>292</v>
      </c>
      <c r="E681" t="str">
        <f>TEXT(7901268000143,"00000000000000")</f>
        <v>07901268000143</v>
      </c>
      <c r="F681" t="s">
        <v>403</v>
      </c>
      <c r="G681" t="s">
        <v>14</v>
      </c>
      <c r="H681">
        <v>28060903</v>
      </c>
      <c r="I681" t="s">
        <v>438</v>
      </c>
      <c r="J681">
        <v>1</v>
      </c>
      <c r="K681">
        <v>25.6</v>
      </c>
    </row>
    <row r="682" spans="1:11" x14ac:dyDescent="0.3">
      <c r="A682">
        <v>2026</v>
      </c>
      <c r="B682">
        <v>1</v>
      </c>
      <c r="C682" t="s">
        <v>291</v>
      </c>
      <c r="D682" t="s">
        <v>292</v>
      </c>
      <c r="E682" t="str">
        <f>TEXT(7901268000143,"00000000000000")</f>
        <v>07901268000143</v>
      </c>
      <c r="F682" t="s">
        <v>403</v>
      </c>
      <c r="G682" t="s">
        <v>14</v>
      </c>
      <c r="H682">
        <v>28060911</v>
      </c>
      <c r="I682" t="s">
        <v>439</v>
      </c>
      <c r="J682">
        <v>1</v>
      </c>
      <c r="K682">
        <v>12.8</v>
      </c>
    </row>
    <row r="683" spans="1:11" x14ac:dyDescent="0.3">
      <c r="A683">
        <v>2026</v>
      </c>
      <c r="B683">
        <v>1</v>
      </c>
      <c r="C683" t="s">
        <v>291</v>
      </c>
      <c r="D683" t="s">
        <v>292</v>
      </c>
      <c r="E683" t="str">
        <f>TEXT(7901268000143,"00000000000000")</f>
        <v>07901268000143</v>
      </c>
      <c r="F683" t="s">
        <v>403</v>
      </c>
      <c r="G683" t="s">
        <v>14</v>
      </c>
      <c r="H683">
        <v>28060954</v>
      </c>
      <c r="I683" t="s">
        <v>440</v>
      </c>
      <c r="J683">
        <v>2</v>
      </c>
      <c r="K683">
        <v>15.04</v>
      </c>
    </row>
    <row r="684" spans="1:11" x14ac:dyDescent="0.3">
      <c r="A684">
        <v>2026</v>
      </c>
      <c r="B684">
        <v>1</v>
      </c>
      <c r="C684" t="s">
        <v>291</v>
      </c>
      <c r="D684" t="s">
        <v>292</v>
      </c>
      <c r="E684" t="str">
        <f>TEXT(7901268000143,"00000000000000")</f>
        <v>07901268000143</v>
      </c>
      <c r="F684" t="s">
        <v>403</v>
      </c>
      <c r="G684" t="s">
        <v>14</v>
      </c>
      <c r="H684">
        <v>28061004</v>
      </c>
      <c r="I684" t="s">
        <v>62</v>
      </c>
      <c r="J684">
        <v>1</v>
      </c>
      <c r="K684">
        <v>3.84</v>
      </c>
    </row>
    <row r="685" spans="1:11" x14ac:dyDescent="0.3">
      <c r="A685">
        <v>2026</v>
      </c>
      <c r="B685">
        <v>1</v>
      </c>
      <c r="C685" t="s">
        <v>291</v>
      </c>
      <c r="D685" t="s">
        <v>292</v>
      </c>
      <c r="E685" t="str">
        <f>TEXT(7901268000143,"00000000000000")</f>
        <v>07901268000143</v>
      </c>
      <c r="F685" t="s">
        <v>403</v>
      </c>
      <c r="G685" t="s">
        <v>14</v>
      </c>
      <c r="H685">
        <v>28061136</v>
      </c>
      <c r="I685" t="s">
        <v>441</v>
      </c>
      <c r="J685">
        <v>2</v>
      </c>
      <c r="K685">
        <v>30.24</v>
      </c>
    </row>
    <row r="686" spans="1:11" x14ac:dyDescent="0.3">
      <c r="A686">
        <v>2026</v>
      </c>
      <c r="B686">
        <v>1</v>
      </c>
      <c r="C686" t="s">
        <v>291</v>
      </c>
      <c r="D686" t="s">
        <v>292</v>
      </c>
      <c r="E686" t="str">
        <f>TEXT(7901268000143,"00000000000000")</f>
        <v>07901268000143</v>
      </c>
      <c r="F686" t="s">
        <v>403</v>
      </c>
      <c r="G686" t="s">
        <v>14</v>
      </c>
      <c r="H686">
        <v>28061144</v>
      </c>
      <c r="I686" t="s">
        <v>442</v>
      </c>
      <c r="J686">
        <v>1</v>
      </c>
      <c r="K686">
        <v>15.12</v>
      </c>
    </row>
    <row r="687" spans="1:11" x14ac:dyDescent="0.3">
      <c r="A687">
        <v>2026</v>
      </c>
      <c r="B687">
        <v>1</v>
      </c>
      <c r="C687" t="s">
        <v>291</v>
      </c>
      <c r="D687" t="s">
        <v>292</v>
      </c>
      <c r="E687" t="str">
        <f>TEXT(7901268000143,"00000000000000")</f>
        <v>07901268000143</v>
      </c>
      <c r="F687" t="s">
        <v>403</v>
      </c>
      <c r="G687" t="s">
        <v>14</v>
      </c>
      <c r="H687">
        <v>28061152</v>
      </c>
      <c r="I687" t="s">
        <v>443</v>
      </c>
      <c r="J687">
        <v>1</v>
      </c>
      <c r="K687">
        <v>17.28</v>
      </c>
    </row>
    <row r="688" spans="1:11" x14ac:dyDescent="0.3">
      <c r="A688">
        <v>2026</v>
      </c>
      <c r="B688">
        <v>1</v>
      </c>
      <c r="C688" t="s">
        <v>291</v>
      </c>
      <c r="D688" t="s">
        <v>292</v>
      </c>
      <c r="E688" t="str">
        <f>TEXT(7901268000143,"00000000000000")</f>
        <v>07901268000143</v>
      </c>
      <c r="F688" t="s">
        <v>403</v>
      </c>
      <c r="G688" t="s">
        <v>14</v>
      </c>
      <c r="H688">
        <v>28061195</v>
      </c>
      <c r="I688" t="s">
        <v>444</v>
      </c>
      <c r="J688">
        <v>7</v>
      </c>
      <c r="K688">
        <v>179.2</v>
      </c>
    </row>
    <row r="689" spans="1:11" x14ac:dyDescent="0.3">
      <c r="A689">
        <v>2026</v>
      </c>
      <c r="B689">
        <v>1</v>
      </c>
      <c r="C689" t="s">
        <v>291</v>
      </c>
      <c r="D689" t="s">
        <v>292</v>
      </c>
      <c r="E689" t="str">
        <f>TEXT(7901268000143,"00000000000000")</f>
        <v>07901268000143</v>
      </c>
      <c r="F689" t="s">
        <v>403</v>
      </c>
      <c r="G689" t="s">
        <v>14</v>
      </c>
      <c r="H689">
        <v>28061225</v>
      </c>
      <c r="I689" t="s">
        <v>445</v>
      </c>
      <c r="J689">
        <v>1</v>
      </c>
      <c r="K689">
        <v>15.12</v>
      </c>
    </row>
    <row r="690" spans="1:11" x14ac:dyDescent="0.3">
      <c r="A690">
        <v>2026</v>
      </c>
      <c r="B690">
        <v>1</v>
      </c>
      <c r="C690" t="s">
        <v>291</v>
      </c>
      <c r="D690" t="s">
        <v>292</v>
      </c>
      <c r="E690" t="str">
        <f>TEXT(7901268000143,"00000000000000")</f>
        <v>07901268000143</v>
      </c>
      <c r="F690" t="s">
        <v>403</v>
      </c>
      <c r="G690" t="s">
        <v>14</v>
      </c>
      <c r="H690">
        <v>28061276</v>
      </c>
      <c r="I690" t="s">
        <v>446</v>
      </c>
      <c r="J690">
        <v>3</v>
      </c>
      <c r="K690">
        <v>65.58</v>
      </c>
    </row>
    <row r="691" spans="1:11" x14ac:dyDescent="0.3">
      <c r="A691">
        <v>2026</v>
      </c>
      <c r="B691">
        <v>1</v>
      </c>
      <c r="C691" t="s">
        <v>291</v>
      </c>
      <c r="D691" t="s">
        <v>292</v>
      </c>
      <c r="E691" t="str">
        <f>TEXT(7901268000143,"00000000000000")</f>
        <v>07901268000143</v>
      </c>
      <c r="F691" t="s">
        <v>403</v>
      </c>
      <c r="G691" t="s">
        <v>14</v>
      </c>
      <c r="H691">
        <v>28061373</v>
      </c>
      <c r="I691" t="s">
        <v>447</v>
      </c>
      <c r="J691">
        <v>4</v>
      </c>
      <c r="K691">
        <v>77.12</v>
      </c>
    </row>
    <row r="692" spans="1:11" x14ac:dyDescent="0.3">
      <c r="A692">
        <v>2026</v>
      </c>
      <c r="B692">
        <v>1</v>
      </c>
      <c r="C692" t="s">
        <v>291</v>
      </c>
      <c r="D692" t="s">
        <v>292</v>
      </c>
      <c r="E692" t="str">
        <f>TEXT(7901268000143,"00000000000000")</f>
        <v>07901268000143</v>
      </c>
      <c r="F692" t="s">
        <v>403</v>
      </c>
      <c r="G692" t="s">
        <v>14</v>
      </c>
      <c r="H692">
        <v>28061381</v>
      </c>
      <c r="I692" t="s">
        <v>448</v>
      </c>
      <c r="J692">
        <v>4</v>
      </c>
      <c r="K692">
        <v>89.92</v>
      </c>
    </row>
    <row r="693" spans="1:11" x14ac:dyDescent="0.3">
      <c r="A693">
        <v>2026</v>
      </c>
      <c r="B693">
        <v>1</v>
      </c>
      <c r="C693" t="s">
        <v>291</v>
      </c>
      <c r="D693" t="s">
        <v>292</v>
      </c>
      <c r="E693" t="str">
        <f>TEXT(7901268000143,"00000000000000")</f>
        <v>07901268000143</v>
      </c>
      <c r="F693" t="s">
        <v>403</v>
      </c>
      <c r="G693" t="s">
        <v>14</v>
      </c>
      <c r="H693">
        <v>28061390</v>
      </c>
      <c r="I693" t="s">
        <v>449</v>
      </c>
      <c r="J693">
        <v>1</v>
      </c>
      <c r="K693">
        <v>19.28</v>
      </c>
    </row>
    <row r="694" spans="1:11" x14ac:dyDescent="0.3">
      <c r="A694">
        <v>2026</v>
      </c>
      <c r="B694">
        <v>1</v>
      </c>
      <c r="C694" t="s">
        <v>291</v>
      </c>
      <c r="D694" t="s">
        <v>292</v>
      </c>
      <c r="E694" t="str">
        <f>TEXT(7901268000143,"00000000000000")</f>
        <v>07901268000143</v>
      </c>
      <c r="F694" t="s">
        <v>403</v>
      </c>
      <c r="G694" t="s">
        <v>14</v>
      </c>
      <c r="H694">
        <v>28061403</v>
      </c>
      <c r="I694" t="s">
        <v>450</v>
      </c>
      <c r="J694">
        <v>1</v>
      </c>
      <c r="K694">
        <v>22.64</v>
      </c>
    </row>
    <row r="695" spans="1:11" x14ac:dyDescent="0.3">
      <c r="A695">
        <v>2026</v>
      </c>
      <c r="B695">
        <v>1</v>
      </c>
      <c r="C695" t="s">
        <v>291</v>
      </c>
      <c r="D695" t="s">
        <v>292</v>
      </c>
      <c r="E695" t="str">
        <f>TEXT(7901268000143,"00000000000000")</f>
        <v>07901268000143</v>
      </c>
      <c r="F695" t="s">
        <v>403</v>
      </c>
      <c r="G695" t="s">
        <v>14</v>
      </c>
      <c r="H695">
        <v>28061497</v>
      </c>
      <c r="I695" t="s">
        <v>282</v>
      </c>
      <c r="J695">
        <v>6</v>
      </c>
      <c r="K695">
        <v>96</v>
      </c>
    </row>
    <row r="696" spans="1:11" x14ac:dyDescent="0.3">
      <c r="A696">
        <v>2026</v>
      </c>
      <c r="B696">
        <v>1</v>
      </c>
      <c r="C696" t="s">
        <v>291</v>
      </c>
      <c r="D696" t="s">
        <v>292</v>
      </c>
      <c r="E696" t="str">
        <f>TEXT(7901268000143,"00000000000000")</f>
        <v>07901268000143</v>
      </c>
      <c r="F696" t="s">
        <v>403</v>
      </c>
      <c r="G696" t="s">
        <v>14</v>
      </c>
      <c r="H696">
        <v>28061594</v>
      </c>
      <c r="I696" t="s">
        <v>91</v>
      </c>
      <c r="J696">
        <v>2</v>
      </c>
      <c r="K696">
        <v>94</v>
      </c>
    </row>
    <row r="697" spans="1:11" x14ac:dyDescent="0.3">
      <c r="A697">
        <v>2026</v>
      </c>
      <c r="B697">
        <v>1</v>
      </c>
      <c r="C697" t="s">
        <v>291</v>
      </c>
      <c r="D697" t="s">
        <v>292</v>
      </c>
      <c r="E697" t="str">
        <f>TEXT(7901268000143,"00000000000000")</f>
        <v>07901268000143</v>
      </c>
      <c r="F697" t="s">
        <v>403</v>
      </c>
      <c r="G697" t="s">
        <v>14</v>
      </c>
      <c r="H697">
        <v>28061608</v>
      </c>
      <c r="I697" t="s">
        <v>109</v>
      </c>
      <c r="J697">
        <v>2</v>
      </c>
      <c r="K697">
        <v>94</v>
      </c>
    </row>
    <row r="698" spans="1:11" x14ac:dyDescent="0.3">
      <c r="A698">
        <v>2026</v>
      </c>
      <c r="B698">
        <v>1</v>
      </c>
      <c r="C698" t="s">
        <v>291</v>
      </c>
      <c r="D698" t="s">
        <v>292</v>
      </c>
      <c r="E698" t="str">
        <f>TEXT(7901268000143,"00000000000000")</f>
        <v>07901268000143</v>
      </c>
      <c r="F698" t="s">
        <v>403</v>
      </c>
      <c r="G698" t="s">
        <v>14</v>
      </c>
      <c r="H698">
        <v>28061624</v>
      </c>
      <c r="I698" t="s">
        <v>92</v>
      </c>
      <c r="J698">
        <v>1</v>
      </c>
      <c r="K698">
        <v>38</v>
      </c>
    </row>
    <row r="699" spans="1:11" x14ac:dyDescent="0.3">
      <c r="A699">
        <v>2026</v>
      </c>
      <c r="B699">
        <v>1</v>
      </c>
      <c r="C699" t="s">
        <v>291</v>
      </c>
      <c r="D699" t="s">
        <v>292</v>
      </c>
      <c r="E699" t="str">
        <f>TEXT(7901268000143,"00000000000000")</f>
        <v>07901268000143</v>
      </c>
      <c r="F699" t="s">
        <v>403</v>
      </c>
      <c r="G699" t="s">
        <v>14</v>
      </c>
      <c r="H699">
        <v>28061659</v>
      </c>
      <c r="I699" t="s">
        <v>63</v>
      </c>
      <c r="J699">
        <v>10</v>
      </c>
      <c r="K699">
        <v>432</v>
      </c>
    </row>
    <row r="700" spans="1:11" x14ac:dyDescent="0.3">
      <c r="A700">
        <v>2026</v>
      </c>
      <c r="B700">
        <v>1</v>
      </c>
      <c r="C700" t="s">
        <v>291</v>
      </c>
      <c r="D700" t="s">
        <v>292</v>
      </c>
      <c r="E700" t="str">
        <f>TEXT(7901268000143,"00000000000000")</f>
        <v>07901268000143</v>
      </c>
      <c r="F700" t="s">
        <v>403</v>
      </c>
      <c r="G700" t="s">
        <v>14</v>
      </c>
      <c r="H700">
        <v>28061667</v>
      </c>
      <c r="I700" t="s">
        <v>451</v>
      </c>
      <c r="J700">
        <v>7</v>
      </c>
      <c r="K700">
        <v>329</v>
      </c>
    </row>
    <row r="701" spans="1:11" x14ac:dyDescent="0.3">
      <c r="A701">
        <v>2026</v>
      </c>
      <c r="B701">
        <v>1</v>
      </c>
      <c r="C701" t="s">
        <v>291</v>
      </c>
      <c r="D701" t="s">
        <v>292</v>
      </c>
      <c r="E701" t="str">
        <f>TEXT(7901268000143,"00000000000000")</f>
        <v>07901268000143</v>
      </c>
      <c r="F701" t="s">
        <v>403</v>
      </c>
      <c r="G701" t="s">
        <v>14</v>
      </c>
      <c r="H701">
        <v>28061691</v>
      </c>
      <c r="I701" t="s">
        <v>64</v>
      </c>
      <c r="J701">
        <v>2</v>
      </c>
      <c r="K701">
        <v>84.8</v>
      </c>
    </row>
    <row r="702" spans="1:11" x14ac:dyDescent="0.3">
      <c r="A702">
        <v>2026</v>
      </c>
      <c r="B702">
        <v>1</v>
      </c>
      <c r="C702" t="s">
        <v>291</v>
      </c>
      <c r="D702" t="s">
        <v>292</v>
      </c>
      <c r="E702" t="str">
        <f>TEXT(7901268000143,"00000000000000")</f>
        <v>07901268000143</v>
      </c>
      <c r="F702" t="s">
        <v>403</v>
      </c>
      <c r="G702" t="s">
        <v>14</v>
      </c>
      <c r="H702">
        <v>28061721</v>
      </c>
      <c r="I702" t="s">
        <v>452</v>
      </c>
      <c r="J702">
        <v>2</v>
      </c>
      <c r="K702">
        <v>43.2</v>
      </c>
    </row>
    <row r="703" spans="1:11" x14ac:dyDescent="0.3">
      <c r="A703">
        <v>2026</v>
      </c>
      <c r="B703">
        <v>1</v>
      </c>
      <c r="C703" t="s">
        <v>291</v>
      </c>
      <c r="D703" t="s">
        <v>292</v>
      </c>
      <c r="E703" t="str">
        <f>TEXT(7901268000143,"00000000000000")</f>
        <v>07901268000143</v>
      </c>
      <c r="F703" t="s">
        <v>403</v>
      </c>
      <c r="G703" t="s">
        <v>14</v>
      </c>
      <c r="H703">
        <v>28061748</v>
      </c>
      <c r="I703" t="s">
        <v>453</v>
      </c>
      <c r="J703">
        <v>1</v>
      </c>
      <c r="K703">
        <v>47</v>
      </c>
    </row>
    <row r="704" spans="1:11" x14ac:dyDescent="0.3">
      <c r="A704">
        <v>2026</v>
      </c>
      <c r="B704">
        <v>1</v>
      </c>
      <c r="C704" t="s">
        <v>291</v>
      </c>
      <c r="D704" t="s">
        <v>292</v>
      </c>
      <c r="E704" t="str">
        <f>TEXT(7901268000143,"00000000000000")</f>
        <v>07901268000143</v>
      </c>
      <c r="F704" t="s">
        <v>403</v>
      </c>
      <c r="G704" t="s">
        <v>14</v>
      </c>
      <c r="H704">
        <v>28061780</v>
      </c>
      <c r="I704" t="s">
        <v>454</v>
      </c>
      <c r="J704">
        <v>1</v>
      </c>
      <c r="K704">
        <v>17.28</v>
      </c>
    </row>
    <row r="705" spans="1:11" x14ac:dyDescent="0.3">
      <c r="A705">
        <v>2026</v>
      </c>
      <c r="B705">
        <v>1</v>
      </c>
      <c r="C705" t="s">
        <v>291</v>
      </c>
      <c r="D705" t="s">
        <v>292</v>
      </c>
      <c r="E705" t="str">
        <f>TEXT(7901268000143,"00000000000000")</f>
        <v>07901268000143</v>
      </c>
      <c r="F705" t="s">
        <v>403</v>
      </c>
      <c r="G705" t="s">
        <v>14</v>
      </c>
      <c r="H705">
        <v>28061802</v>
      </c>
      <c r="I705" t="s">
        <v>455</v>
      </c>
      <c r="J705">
        <v>1</v>
      </c>
      <c r="K705">
        <v>21.6</v>
      </c>
    </row>
    <row r="706" spans="1:11" x14ac:dyDescent="0.3">
      <c r="A706">
        <v>2026</v>
      </c>
      <c r="B706">
        <v>1</v>
      </c>
      <c r="C706" t="s">
        <v>291</v>
      </c>
      <c r="D706" t="s">
        <v>292</v>
      </c>
      <c r="E706" t="str">
        <f>TEXT(7901268000143,"00000000000000")</f>
        <v>07901268000143</v>
      </c>
      <c r="F706" t="s">
        <v>403</v>
      </c>
      <c r="G706" t="s">
        <v>14</v>
      </c>
      <c r="H706">
        <v>28061861</v>
      </c>
      <c r="I706" t="s">
        <v>456</v>
      </c>
      <c r="J706">
        <v>7</v>
      </c>
      <c r="K706">
        <v>151.19999999999999</v>
      </c>
    </row>
    <row r="707" spans="1:11" x14ac:dyDescent="0.3">
      <c r="A707">
        <v>2026</v>
      </c>
      <c r="B707">
        <v>1</v>
      </c>
      <c r="C707" t="s">
        <v>291</v>
      </c>
      <c r="D707" t="s">
        <v>292</v>
      </c>
      <c r="E707" t="str">
        <f>TEXT(7901268000143,"00000000000000")</f>
        <v>07901268000143</v>
      </c>
      <c r="F707" t="s">
        <v>403</v>
      </c>
      <c r="G707" t="s">
        <v>14</v>
      </c>
      <c r="H707">
        <v>28062078</v>
      </c>
      <c r="I707" t="s">
        <v>284</v>
      </c>
      <c r="J707">
        <v>1</v>
      </c>
      <c r="K707">
        <v>14.19</v>
      </c>
    </row>
    <row r="708" spans="1:11" x14ac:dyDescent="0.3">
      <c r="A708">
        <v>2026</v>
      </c>
      <c r="B708">
        <v>1</v>
      </c>
      <c r="C708" t="s">
        <v>291</v>
      </c>
      <c r="D708" t="s">
        <v>292</v>
      </c>
      <c r="E708" t="str">
        <f>TEXT(7901268000143,"00000000000000")</f>
        <v>07901268000143</v>
      </c>
      <c r="F708" t="s">
        <v>403</v>
      </c>
      <c r="G708" t="s">
        <v>14</v>
      </c>
      <c r="H708">
        <v>28062086</v>
      </c>
      <c r="I708" t="s">
        <v>457</v>
      </c>
      <c r="J708">
        <v>1</v>
      </c>
      <c r="K708">
        <v>16.28</v>
      </c>
    </row>
    <row r="709" spans="1:11" x14ac:dyDescent="0.3">
      <c r="A709">
        <v>2026</v>
      </c>
      <c r="B709">
        <v>1</v>
      </c>
      <c r="C709" t="s">
        <v>291</v>
      </c>
      <c r="D709" t="s">
        <v>292</v>
      </c>
      <c r="E709" t="str">
        <f>TEXT(7901268000143,"00000000000000")</f>
        <v>07901268000143</v>
      </c>
      <c r="F709" t="s">
        <v>403</v>
      </c>
      <c r="G709" t="s">
        <v>14</v>
      </c>
      <c r="H709">
        <v>28062132</v>
      </c>
      <c r="I709" t="s">
        <v>458</v>
      </c>
      <c r="J709">
        <v>10</v>
      </c>
      <c r="K709">
        <v>108</v>
      </c>
    </row>
    <row r="710" spans="1:11" x14ac:dyDescent="0.3">
      <c r="A710">
        <v>2026</v>
      </c>
      <c r="B710">
        <v>1</v>
      </c>
      <c r="C710" t="s">
        <v>291</v>
      </c>
      <c r="D710" t="s">
        <v>292</v>
      </c>
      <c r="E710" t="str">
        <f>TEXT(7901268000143,"00000000000000")</f>
        <v>07901268000143</v>
      </c>
      <c r="F710" t="s">
        <v>403</v>
      </c>
      <c r="G710" t="s">
        <v>14</v>
      </c>
      <c r="H710">
        <v>28062400</v>
      </c>
      <c r="I710" t="s">
        <v>459</v>
      </c>
      <c r="J710">
        <v>1</v>
      </c>
      <c r="K710">
        <v>18</v>
      </c>
    </row>
    <row r="711" spans="1:11" x14ac:dyDescent="0.3">
      <c r="A711">
        <v>2026</v>
      </c>
      <c r="B711">
        <v>1</v>
      </c>
      <c r="C711" t="s">
        <v>291</v>
      </c>
      <c r="D711" t="s">
        <v>292</v>
      </c>
      <c r="E711" t="str">
        <f>TEXT(7901268000143,"00000000000000")</f>
        <v>07901268000143</v>
      </c>
      <c r="F711" t="s">
        <v>403</v>
      </c>
      <c r="G711" t="s">
        <v>14</v>
      </c>
      <c r="H711">
        <v>28062418</v>
      </c>
      <c r="I711" t="s">
        <v>460</v>
      </c>
      <c r="J711">
        <v>12</v>
      </c>
      <c r="K711">
        <v>264</v>
      </c>
    </row>
    <row r="712" spans="1:11" x14ac:dyDescent="0.3">
      <c r="A712">
        <v>2026</v>
      </c>
      <c r="B712">
        <v>1</v>
      </c>
      <c r="C712" t="s">
        <v>291</v>
      </c>
      <c r="D712" t="s">
        <v>292</v>
      </c>
      <c r="E712" t="str">
        <f>TEXT(7901268000143,"00000000000000")</f>
        <v>07901268000143</v>
      </c>
      <c r="F712" t="s">
        <v>403</v>
      </c>
      <c r="G712" t="s">
        <v>14</v>
      </c>
      <c r="H712">
        <v>28062493</v>
      </c>
      <c r="I712" t="s">
        <v>461</v>
      </c>
      <c r="J712">
        <v>1</v>
      </c>
      <c r="K712">
        <v>36.21</v>
      </c>
    </row>
    <row r="713" spans="1:11" x14ac:dyDescent="0.3">
      <c r="A713">
        <v>2026</v>
      </c>
      <c r="B713">
        <v>1</v>
      </c>
      <c r="C713" t="s">
        <v>291</v>
      </c>
      <c r="D713" t="s">
        <v>292</v>
      </c>
      <c r="E713" t="str">
        <f>TEXT(7901268000143,"00000000000000")</f>
        <v>07901268000143</v>
      </c>
      <c r="F713" t="s">
        <v>403</v>
      </c>
      <c r="G713" t="s">
        <v>14</v>
      </c>
      <c r="H713">
        <v>28063000</v>
      </c>
      <c r="I713" t="s">
        <v>462</v>
      </c>
      <c r="J713">
        <v>2</v>
      </c>
      <c r="K713">
        <v>116</v>
      </c>
    </row>
    <row r="714" spans="1:11" x14ac:dyDescent="0.3">
      <c r="A714">
        <v>2026</v>
      </c>
      <c r="B714">
        <v>1</v>
      </c>
      <c r="C714" t="s">
        <v>291</v>
      </c>
      <c r="D714" t="s">
        <v>292</v>
      </c>
      <c r="E714" t="str">
        <f>TEXT(7901268000143,"00000000000000")</f>
        <v>07901268000143</v>
      </c>
      <c r="F714" t="s">
        <v>403</v>
      </c>
      <c r="G714" t="s">
        <v>14</v>
      </c>
      <c r="H714">
        <v>28100034</v>
      </c>
      <c r="I714" t="s">
        <v>121</v>
      </c>
      <c r="J714">
        <v>8</v>
      </c>
      <c r="K714">
        <v>35.840000000000003</v>
      </c>
    </row>
    <row r="715" spans="1:11" x14ac:dyDescent="0.3">
      <c r="A715">
        <v>2026</v>
      </c>
      <c r="B715">
        <v>1</v>
      </c>
      <c r="C715" t="s">
        <v>291</v>
      </c>
      <c r="D715" t="s">
        <v>292</v>
      </c>
      <c r="E715" t="str">
        <f>TEXT(7901268000143,"00000000000000")</f>
        <v>07901268000143</v>
      </c>
      <c r="F715" t="s">
        <v>403</v>
      </c>
      <c r="G715" t="s">
        <v>14</v>
      </c>
      <c r="H715">
        <v>28100271</v>
      </c>
      <c r="I715" t="s">
        <v>463</v>
      </c>
      <c r="J715">
        <v>1</v>
      </c>
      <c r="K715">
        <v>10.6</v>
      </c>
    </row>
    <row r="716" spans="1:11" x14ac:dyDescent="0.3">
      <c r="A716">
        <v>2026</v>
      </c>
      <c r="B716">
        <v>1</v>
      </c>
      <c r="C716" t="s">
        <v>291</v>
      </c>
      <c r="D716" t="s">
        <v>292</v>
      </c>
      <c r="E716" t="str">
        <f>TEXT(7901268000143,"00000000000000")</f>
        <v>07901268000143</v>
      </c>
      <c r="F716" t="s">
        <v>403</v>
      </c>
      <c r="G716" t="s">
        <v>14</v>
      </c>
      <c r="H716">
        <v>28100298</v>
      </c>
      <c r="I716" t="s">
        <v>285</v>
      </c>
      <c r="J716">
        <v>34</v>
      </c>
      <c r="K716">
        <v>367.2</v>
      </c>
    </row>
    <row r="717" spans="1:11" x14ac:dyDescent="0.3">
      <c r="A717">
        <v>2026</v>
      </c>
      <c r="B717">
        <v>1</v>
      </c>
      <c r="C717" t="s">
        <v>291</v>
      </c>
      <c r="D717" t="s">
        <v>292</v>
      </c>
      <c r="E717" t="str">
        <f>TEXT(7901268000143,"00000000000000")</f>
        <v>07901268000143</v>
      </c>
      <c r="F717" t="s">
        <v>403</v>
      </c>
      <c r="G717" t="s">
        <v>14</v>
      </c>
      <c r="H717">
        <v>28100549</v>
      </c>
      <c r="I717" t="s">
        <v>68</v>
      </c>
      <c r="J717">
        <v>1</v>
      </c>
      <c r="K717">
        <v>10.6</v>
      </c>
    </row>
    <row r="718" spans="1:11" x14ac:dyDescent="0.3">
      <c r="A718">
        <v>2026</v>
      </c>
      <c r="B718">
        <v>1</v>
      </c>
      <c r="C718" t="s">
        <v>291</v>
      </c>
      <c r="D718" t="s">
        <v>292</v>
      </c>
      <c r="E718" t="str">
        <f>TEXT(7901268000143,"00000000000000")</f>
        <v>07901268000143</v>
      </c>
      <c r="F718" t="s">
        <v>403</v>
      </c>
      <c r="G718" t="s">
        <v>14</v>
      </c>
      <c r="H718">
        <v>28100646</v>
      </c>
      <c r="I718" t="s">
        <v>464</v>
      </c>
      <c r="J718">
        <v>1</v>
      </c>
      <c r="K718">
        <v>14.96</v>
      </c>
    </row>
    <row r="719" spans="1:11" x14ac:dyDescent="0.3">
      <c r="A719">
        <v>2026</v>
      </c>
      <c r="B719">
        <v>1</v>
      </c>
      <c r="C719" t="s">
        <v>291</v>
      </c>
      <c r="D719" t="s">
        <v>292</v>
      </c>
      <c r="E719" t="str">
        <f>TEXT(7901268000143,"00000000000000")</f>
        <v>07901268000143</v>
      </c>
      <c r="F719" t="s">
        <v>403</v>
      </c>
      <c r="G719" t="s">
        <v>14</v>
      </c>
      <c r="H719">
        <v>28100662</v>
      </c>
      <c r="I719" t="s">
        <v>465</v>
      </c>
      <c r="J719">
        <v>2</v>
      </c>
      <c r="K719">
        <v>78</v>
      </c>
    </row>
    <row r="720" spans="1:11" x14ac:dyDescent="0.3">
      <c r="A720">
        <v>2026</v>
      </c>
      <c r="B720">
        <v>1</v>
      </c>
      <c r="C720" t="s">
        <v>291</v>
      </c>
      <c r="D720" t="s">
        <v>292</v>
      </c>
      <c r="E720" t="str">
        <f>TEXT(7901268000143,"00000000000000")</f>
        <v>07901268000143</v>
      </c>
      <c r="F720" t="s">
        <v>403</v>
      </c>
      <c r="G720" t="s">
        <v>14</v>
      </c>
      <c r="H720">
        <v>28100727</v>
      </c>
      <c r="I720" t="s">
        <v>466</v>
      </c>
      <c r="J720">
        <v>2</v>
      </c>
      <c r="K720">
        <v>29.6</v>
      </c>
    </row>
    <row r="721" spans="1:11" x14ac:dyDescent="0.3">
      <c r="A721">
        <v>2026</v>
      </c>
      <c r="B721">
        <v>1</v>
      </c>
      <c r="C721" t="s">
        <v>291</v>
      </c>
      <c r="D721" t="s">
        <v>292</v>
      </c>
      <c r="E721" t="str">
        <f>TEXT(7901268000143,"00000000000000")</f>
        <v>07901268000143</v>
      </c>
      <c r="F721" t="s">
        <v>403</v>
      </c>
      <c r="G721" t="s">
        <v>14</v>
      </c>
      <c r="H721">
        <v>28130332</v>
      </c>
      <c r="I721" t="s">
        <v>467</v>
      </c>
      <c r="J721">
        <v>1</v>
      </c>
      <c r="K721">
        <v>4.32</v>
      </c>
    </row>
    <row r="722" spans="1:11" x14ac:dyDescent="0.3">
      <c r="A722">
        <v>2026</v>
      </c>
      <c r="B722">
        <v>1</v>
      </c>
      <c r="C722" t="s">
        <v>291</v>
      </c>
      <c r="D722" t="s">
        <v>292</v>
      </c>
      <c r="E722" t="str">
        <f>TEXT(7901268000143,"00000000000000")</f>
        <v>07901268000143</v>
      </c>
      <c r="F722" t="s">
        <v>403</v>
      </c>
      <c r="G722" t="s">
        <v>14</v>
      </c>
      <c r="H722">
        <v>28130367</v>
      </c>
      <c r="I722" t="s">
        <v>69</v>
      </c>
      <c r="J722">
        <v>1</v>
      </c>
      <c r="K722">
        <v>3.84</v>
      </c>
    </row>
    <row r="723" spans="1:11" x14ac:dyDescent="0.3">
      <c r="A723">
        <v>2026</v>
      </c>
      <c r="B723">
        <v>1</v>
      </c>
      <c r="C723" t="s">
        <v>291</v>
      </c>
      <c r="D723" t="s">
        <v>292</v>
      </c>
      <c r="E723" t="str">
        <f>TEXT(7901268000143,"00000000000000")</f>
        <v>07901268000143</v>
      </c>
      <c r="F723" t="s">
        <v>403</v>
      </c>
      <c r="G723" t="s">
        <v>14</v>
      </c>
      <c r="H723">
        <v>28130456</v>
      </c>
      <c r="I723" t="s">
        <v>468</v>
      </c>
      <c r="J723">
        <v>4</v>
      </c>
      <c r="K723">
        <v>86.4</v>
      </c>
    </row>
    <row r="724" spans="1:11" x14ac:dyDescent="0.3">
      <c r="A724">
        <v>2026</v>
      </c>
      <c r="B724">
        <v>1</v>
      </c>
      <c r="C724" t="s">
        <v>291</v>
      </c>
      <c r="D724" t="s">
        <v>292</v>
      </c>
      <c r="E724" t="str">
        <f>TEXT(7901268000143,"00000000000000")</f>
        <v>07901268000143</v>
      </c>
      <c r="F724" t="s">
        <v>403</v>
      </c>
      <c r="G724" t="s">
        <v>14</v>
      </c>
      <c r="H724">
        <v>28130529</v>
      </c>
      <c r="I724" t="s">
        <v>469</v>
      </c>
      <c r="J724">
        <v>1</v>
      </c>
      <c r="K724">
        <v>33.6</v>
      </c>
    </row>
    <row r="725" spans="1:11" x14ac:dyDescent="0.3">
      <c r="A725">
        <v>2026</v>
      </c>
      <c r="B725">
        <v>1</v>
      </c>
      <c r="C725" t="s">
        <v>291</v>
      </c>
      <c r="D725" t="s">
        <v>292</v>
      </c>
      <c r="E725" t="str">
        <f>TEXT(7901268000143,"00000000000000")</f>
        <v>07901268000143</v>
      </c>
      <c r="F725" t="s">
        <v>403</v>
      </c>
      <c r="G725" t="s">
        <v>14</v>
      </c>
      <c r="H725">
        <v>28160061</v>
      </c>
      <c r="I725" t="s">
        <v>470</v>
      </c>
      <c r="J725">
        <v>1</v>
      </c>
      <c r="K725">
        <v>128</v>
      </c>
    </row>
    <row r="726" spans="1:11" x14ac:dyDescent="0.3">
      <c r="A726">
        <v>2026</v>
      </c>
      <c r="B726">
        <v>1</v>
      </c>
      <c r="C726" t="s">
        <v>291</v>
      </c>
      <c r="D726" t="s">
        <v>292</v>
      </c>
      <c r="E726" t="str">
        <f>TEXT(7901268000143,"00000000000000")</f>
        <v>07901268000143</v>
      </c>
      <c r="F726" t="s">
        <v>403</v>
      </c>
      <c r="G726" t="s">
        <v>14</v>
      </c>
      <c r="H726">
        <v>28160070</v>
      </c>
      <c r="I726" t="s">
        <v>471</v>
      </c>
      <c r="J726">
        <v>1</v>
      </c>
      <c r="K726">
        <v>268</v>
      </c>
    </row>
    <row r="727" spans="1:11" x14ac:dyDescent="0.3">
      <c r="A727">
        <v>2026</v>
      </c>
      <c r="B727">
        <v>1</v>
      </c>
      <c r="C727" t="s">
        <v>291</v>
      </c>
      <c r="D727" t="s">
        <v>292</v>
      </c>
      <c r="E727" t="str">
        <f>TEXT(7901268000143,"00000000000000")</f>
        <v>07901268000143</v>
      </c>
      <c r="F727" t="s">
        <v>403</v>
      </c>
      <c r="G727" t="s">
        <v>14</v>
      </c>
      <c r="H727">
        <v>28160177</v>
      </c>
      <c r="I727" t="s">
        <v>472</v>
      </c>
      <c r="J727">
        <v>3</v>
      </c>
      <c r="K727">
        <v>336</v>
      </c>
    </row>
    <row r="728" spans="1:11" x14ac:dyDescent="0.3">
      <c r="A728">
        <v>2026</v>
      </c>
      <c r="B728">
        <v>1</v>
      </c>
      <c r="C728" t="s">
        <v>291</v>
      </c>
      <c r="D728" t="s">
        <v>292</v>
      </c>
      <c r="E728" t="str">
        <f>TEXT(7901268000143,"00000000000000")</f>
        <v>07901268000143</v>
      </c>
      <c r="F728" t="s">
        <v>403</v>
      </c>
      <c r="G728" t="s">
        <v>14</v>
      </c>
      <c r="H728">
        <v>28160266</v>
      </c>
      <c r="I728" t="s">
        <v>473</v>
      </c>
      <c r="J728">
        <v>2</v>
      </c>
      <c r="K728">
        <v>168</v>
      </c>
    </row>
    <row r="729" spans="1:11" x14ac:dyDescent="0.3">
      <c r="A729">
        <v>2026</v>
      </c>
      <c r="B729">
        <v>1</v>
      </c>
      <c r="C729" t="s">
        <v>291</v>
      </c>
      <c r="D729" t="s">
        <v>292</v>
      </c>
      <c r="E729" t="str">
        <f>TEXT(7901268000143,"00000000000000")</f>
        <v>07901268000143</v>
      </c>
      <c r="F729" t="s">
        <v>403</v>
      </c>
      <c r="G729" t="s">
        <v>14</v>
      </c>
      <c r="H729">
        <v>31120253</v>
      </c>
      <c r="I729" t="s">
        <v>47</v>
      </c>
      <c r="J729">
        <v>12</v>
      </c>
      <c r="K729">
        <v>189.84</v>
      </c>
    </row>
    <row r="730" spans="1:11" x14ac:dyDescent="0.3">
      <c r="A730">
        <v>2026</v>
      </c>
      <c r="B730">
        <v>1</v>
      </c>
      <c r="C730" t="s">
        <v>291</v>
      </c>
      <c r="D730" t="s">
        <v>292</v>
      </c>
      <c r="E730" t="str">
        <f>TEXT(9192486000181,"00000000000000")</f>
        <v>09192486000181</v>
      </c>
      <c r="F730" t="s">
        <v>474</v>
      </c>
      <c r="H730">
        <v>90496507</v>
      </c>
      <c r="I730" t="s">
        <v>475</v>
      </c>
      <c r="J730">
        <v>170</v>
      </c>
      <c r="K730">
        <v>144.5</v>
      </c>
    </row>
    <row r="731" spans="1:11" x14ac:dyDescent="0.3">
      <c r="A731">
        <v>2026</v>
      </c>
      <c r="B731">
        <v>1</v>
      </c>
      <c r="C731" t="s">
        <v>291</v>
      </c>
      <c r="D731" t="s">
        <v>292</v>
      </c>
      <c r="E731" t="str">
        <f>TEXT(9192486000181,"00000000000000")</f>
        <v>09192486000181</v>
      </c>
      <c r="F731" t="s">
        <v>474</v>
      </c>
      <c r="G731" t="s">
        <v>123</v>
      </c>
      <c r="H731">
        <v>60000384</v>
      </c>
      <c r="I731" t="s">
        <v>476</v>
      </c>
      <c r="J731">
        <v>30</v>
      </c>
      <c r="K731">
        <v>510</v>
      </c>
    </row>
    <row r="732" spans="1:11" x14ac:dyDescent="0.3">
      <c r="A732">
        <v>2026</v>
      </c>
      <c r="B732">
        <v>1</v>
      </c>
      <c r="C732" t="s">
        <v>291</v>
      </c>
      <c r="D732" t="s">
        <v>292</v>
      </c>
      <c r="E732" t="str">
        <f>TEXT(9192486000181,"00000000000000")</f>
        <v>09192486000181</v>
      </c>
      <c r="F732" t="s">
        <v>474</v>
      </c>
      <c r="G732" t="s">
        <v>123</v>
      </c>
      <c r="H732">
        <v>80013015</v>
      </c>
      <c r="I732" t="s">
        <v>477</v>
      </c>
      <c r="J732">
        <v>30</v>
      </c>
      <c r="K732">
        <v>1716</v>
      </c>
    </row>
    <row r="733" spans="1:11" x14ac:dyDescent="0.3">
      <c r="A733">
        <v>2026</v>
      </c>
      <c r="B733">
        <v>1</v>
      </c>
      <c r="C733" t="s">
        <v>291</v>
      </c>
      <c r="D733" t="s">
        <v>292</v>
      </c>
      <c r="E733" t="str">
        <f>TEXT(9192486000181,"00000000000000")</f>
        <v>09192486000181</v>
      </c>
      <c r="F733" t="s">
        <v>474</v>
      </c>
      <c r="G733" t="s">
        <v>14</v>
      </c>
      <c r="H733">
        <v>10200</v>
      </c>
      <c r="I733" t="s">
        <v>288</v>
      </c>
      <c r="J733">
        <v>1</v>
      </c>
      <c r="K733">
        <v>50</v>
      </c>
    </row>
    <row r="734" spans="1:11" x14ac:dyDescent="0.3">
      <c r="A734">
        <v>2026</v>
      </c>
      <c r="B734">
        <v>1</v>
      </c>
      <c r="C734" t="s">
        <v>291</v>
      </c>
      <c r="D734" t="s">
        <v>292</v>
      </c>
      <c r="E734" t="str">
        <f>TEXT(9192486000181,"00000000000000")</f>
        <v>09192486000181</v>
      </c>
      <c r="F734" t="s">
        <v>474</v>
      </c>
      <c r="G734" t="s">
        <v>14</v>
      </c>
      <c r="H734">
        <v>10499</v>
      </c>
      <c r="I734" t="s">
        <v>478</v>
      </c>
      <c r="J734">
        <v>1</v>
      </c>
      <c r="K734">
        <v>50</v>
      </c>
    </row>
    <row r="735" spans="1:11" x14ac:dyDescent="0.3">
      <c r="A735">
        <v>2026</v>
      </c>
      <c r="B735">
        <v>1</v>
      </c>
      <c r="C735" t="s">
        <v>291</v>
      </c>
      <c r="D735" t="s">
        <v>292</v>
      </c>
      <c r="E735" t="str">
        <f>TEXT(9192486000181,"00000000000000")</f>
        <v>09192486000181</v>
      </c>
      <c r="F735" t="s">
        <v>474</v>
      </c>
      <c r="G735" t="s">
        <v>14</v>
      </c>
      <c r="H735">
        <v>20010</v>
      </c>
      <c r="I735" t="s">
        <v>130</v>
      </c>
      <c r="J735">
        <v>23</v>
      </c>
      <c r="K735">
        <v>589.72</v>
      </c>
    </row>
    <row r="736" spans="1:11" x14ac:dyDescent="0.3">
      <c r="A736">
        <v>2026</v>
      </c>
      <c r="B736">
        <v>1</v>
      </c>
      <c r="C736" t="s">
        <v>291</v>
      </c>
      <c r="D736" t="s">
        <v>292</v>
      </c>
      <c r="E736" t="str">
        <f>TEXT(9192486000181,"00000000000000")</f>
        <v>09192486000181</v>
      </c>
      <c r="F736" t="s">
        <v>474</v>
      </c>
      <c r="G736" t="s">
        <v>14</v>
      </c>
      <c r="H736">
        <v>20010010</v>
      </c>
      <c r="I736" t="s">
        <v>133</v>
      </c>
      <c r="J736">
        <v>1</v>
      </c>
      <c r="K736">
        <v>13.17</v>
      </c>
    </row>
    <row r="737" spans="1:11" x14ac:dyDescent="0.3">
      <c r="A737">
        <v>2026</v>
      </c>
      <c r="B737">
        <v>1</v>
      </c>
      <c r="C737" t="s">
        <v>291</v>
      </c>
      <c r="D737" t="s">
        <v>292</v>
      </c>
      <c r="E737" t="str">
        <f>TEXT(9192486000181,"00000000000000")</f>
        <v>09192486000181</v>
      </c>
      <c r="F737" t="s">
        <v>474</v>
      </c>
      <c r="G737" t="s">
        <v>14</v>
      </c>
      <c r="H737">
        <v>25020129</v>
      </c>
      <c r="I737" t="s">
        <v>479</v>
      </c>
      <c r="J737">
        <v>28</v>
      </c>
      <c r="K737">
        <v>368.76</v>
      </c>
    </row>
    <row r="738" spans="1:11" x14ac:dyDescent="0.3">
      <c r="A738">
        <v>2026</v>
      </c>
      <c r="B738">
        <v>1</v>
      </c>
      <c r="C738" t="s">
        <v>291</v>
      </c>
      <c r="D738" t="s">
        <v>292</v>
      </c>
      <c r="E738" t="str">
        <f>TEXT(9192486000181,"00000000000000")</f>
        <v>09192486000181</v>
      </c>
      <c r="F738" t="s">
        <v>474</v>
      </c>
      <c r="G738" t="s">
        <v>14</v>
      </c>
      <c r="H738">
        <v>25040014</v>
      </c>
      <c r="I738" t="s">
        <v>480</v>
      </c>
      <c r="J738">
        <v>29</v>
      </c>
      <c r="K738">
        <v>190.82</v>
      </c>
    </row>
    <row r="739" spans="1:11" x14ac:dyDescent="0.3">
      <c r="A739">
        <v>2026</v>
      </c>
      <c r="B739">
        <v>1</v>
      </c>
      <c r="C739" t="s">
        <v>291</v>
      </c>
      <c r="D739" t="s">
        <v>292</v>
      </c>
      <c r="E739" t="str">
        <f>TEXT(9192486000181,"00000000000000")</f>
        <v>09192486000181</v>
      </c>
      <c r="F739" t="s">
        <v>474</v>
      </c>
      <c r="G739" t="s">
        <v>173</v>
      </c>
      <c r="H739">
        <v>97046</v>
      </c>
      <c r="I739" t="s">
        <v>481</v>
      </c>
      <c r="J739">
        <v>80</v>
      </c>
      <c r="K739">
        <v>186.4</v>
      </c>
    </row>
    <row r="740" spans="1:11" x14ac:dyDescent="0.3">
      <c r="A740">
        <v>2026</v>
      </c>
      <c r="B740">
        <v>1</v>
      </c>
      <c r="C740" t="s">
        <v>291</v>
      </c>
      <c r="D740" t="s">
        <v>292</v>
      </c>
      <c r="E740" t="str">
        <f>TEXT(9192486000181,"00000000000000")</f>
        <v>09192486000181</v>
      </c>
      <c r="F740" t="s">
        <v>474</v>
      </c>
      <c r="G740" t="s">
        <v>173</v>
      </c>
      <c r="H740">
        <v>169712</v>
      </c>
      <c r="I740" t="s">
        <v>482</v>
      </c>
      <c r="J740">
        <v>130</v>
      </c>
      <c r="K740">
        <v>13</v>
      </c>
    </row>
    <row r="741" spans="1:11" x14ac:dyDescent="0.3">
      <c r="A741">
        <v>2026</v>
      </c>
      <c r="B741">
        <v>1</v>
      </c>
      <c r="C741" t="s">
        <v>291</v>
      </c>
      <c r="D741" t="s">
        <v>292</v>
      </c>
      <c r="E741" t="str">
        <f>TEXT(9192486000181,"00000000000000")</f>
        <v>09192486000181</v>
      </c>
      <c r="F741" t="s">
        <v>474</v>
      </c>
      <c r="G741" t="s">
        <v>173</v>
      </c>
      <c r="H741">
        <v>288884</v>
      </c>
      <c r="I741" t="s">
        <v>483</v>
      </c>
      <c r="J741">
        <v>34</v>
      </c>
      <c r="K741">
        <v>129.19999999999999</v>
      </c>
    </row>
    <row r="742" spans="1:11" x14ac:dyDescent="0.3">
      <c r="A742">
        <v>2026</v>
      </c>
      <c r="B742">
        <v>1</v>
      </c>
      <c r="C742" t="s">
        <v>291</v>
      </c>
      <c r="D742" t="s">
        <v>292</v>
      </c>
      <c r="E742" t="str">
        <f>TEXT(9192486000181,"00000000000000")</f>
        <v>09192486000181</v>
      </c>
      <c r="F742" t="s">
        <v>474</v>
      </c>
      <c r="G742" t="s">
        <v>173</v>
      </c>
      <c r="H742">
        <v>901433</v>
      </c>
      <c r="I742" t="s">
        <v>484</v>
      </c>
      <c r="J742">
        <v>5</v>
      </c>
      <c r="K742">
        <v>586.5</v>
      </c>
    </row>
    <row r="743" spans="1:11" x14ac:dyDescent="0.3">
      <c r="A743">
        <v>2026</v>
      </c>
      <c r="B743">
        <v>1</v>
      </c>
      <c r="C743" t="s">
        <v>291</v>
      </c>
      <c r="D743" t="s">
        <v>292</v>
      </c>
      <c r="E743" t="str">
        <f>TEXT(9192486000181,"00000000000000")</f>
        <v>09192486000181</v>
      </c>
      <c r="F743" t="s">
        <v>474</v>
      </c>
      <c r="G743" t="s">
        <v>173</v>
      </c>
      <c r="H743">
        <v>70019860</v>
      </c>
      <c r="I743" t="s">
        <v>485</v>
      </c>
      <c r="J743">
        <v>21</v>
      </c>
      <c r="K743">
        <v>9.8699999999999992</v>
      </c>
    </row>
    <row r="744" spans="1:11" x14ac:dyDescent="0.3">
      <c r="A744">
        <v>2026</v>
      </c>
      <c r="B744">
        <v>1</v>
      </c>
      <c r="C744" t="s">
        <v>291</v>
      </c>
      <c r="D744" t="s">
        <v>292</v>
      </c>
      <c r="E744" t="str">
        <f>TEXT(9192486000181,"00000000000000")</f>
        <v>09192486000181</v>
      </c>
      <c r="F744" t="s">
        <v>474</v>
      </c>
      <c r="G744" t="s">
        <v>173</v>
      </c>
      <c r="H744">
        <v>70705283</v>
      </c>
      <c r="I744" t="s">
        <v>486</v>
      </c>
      <c r="J744">
        <v>22</v>
      </c>
      <c r="K744">
        <v>71.72</v>
      </c>
    </row>
    <row r="745" spans="1:11" x14ac:dyDescent="0.3">
      <c r="A745">
        <v>2026</v>
      </c>
      <c r="B745">
        <v>1</v>
      </c>
      <c r="C745" t="s">
        <v>291</v>
      </c>
      <c r="D745" t="s">
        <v>292</v>
      </c>
      <c r="E745" t="str">
        <f>TEXT(9192486000181,"00000000000000")</f>
        <v>09192486000181</v>
      </c>
      <c r="F745" t="s">
        <v>474</v>
      </c>
      <c r="G745" t="s">
        <v>173</v>
      </c>
      <c r="H745">
        <v>70705321</v>
      </c>
      <c r="I745" t="s">
        <v>487</v>
      </c>
      <c r="J745">
        <v>34</v>
      </c>
      <c r="K745">
        <v>180.54</v>
      </c>
    </row>
    <row r="746" spans="1:11" x14ac:dyDescent="0.3">
      <c r="A746">
        <v>2026</v>
      </c>
      <c r="B746">
        <v>1</v>
      </c>
      <c r="C746" t="s">
        <v>291</v>
      </c>
      <c r="D746" t="s">
        <v>292</v>
      </c>
      <c r="E746" t="str">
        <f>TEXT(9192486000181,"00000000000000")</f>
        <v>09192486000181</v>
      </c>
      <c r="F746" t="s">
        <v>474</v>
      </c>
      <c r="G746" t="s">
        <v>173</v>
      </c>
      <c r="H746">
        <v>70705348</v>
      </c>
      <c r="I746" t="s">
        <v>488</v>
      </c>
      <c r="J746">
        <v>30</v>
      </c>
      <c r="K746">
        <v>468.9</v>
      </c>
    </row>
    <row r="747" spans="1:11" x14ac:dyDescent="0.3">
      <c r="A747">
        <v>2026</v>
      </c>
      <c r="B747">
        <v>1</v>
      </c>
      <c r="C747" t="s">
        <v>291</v>
      </c>
      <c r="D747" t="s">
        <v>292</v>
      </c>
      <c r="E747" t="str">
        <f>TEXT(9192486000181,"00000000000000")</f>
        <v>09192486000181</v>
      </c>
      <c r="F747" t="s">
        <v>474</v>
      </c>
      <c r="G747" t="s">
        <v>173</v>
      </c>
      <c r="H747">
        <v>70762414</v>
      </c>
      <c r="I747" t="s">
        <v>489</v>
      </c>
      <c r="J747">
        <v>2</v>
      </c>
      <c r="K747">
        <v>104.4</v>
      </c>
    </row>
    <row r="748" spans="1:11" x14ac:dyDescent="0.3">
      <c r="A748">
        <v>2026</v>
      </c>
      <c r="B748">
        <v>1</v>
      </c>
      <c r="C748" t="s">
        <v>291</v>
      </c>
      <c r="D748" t="s">
        <v>292</v>
      </c>
      <c r="E748" t="str">
        <f>TEXT(9192486000181,"00000000000000")</f>
        <v>09192486000181</v>
      </c>
      <c r="F748" t="s">
        <v>474</v>
      </c>
      <c r="G748" t="s">
        <v>173</v>
      </c>
      <c r="H748">
        <v>78244579</v>
      </c>
      <c r="I748" t="s">
        <v>490</v>
      </c>
      <c r="J748">
        <v>14</v>
      </c>
      <c r="K748">
        <v>1050</v>
      </c>
    </row>
    <row r="749" spans="1:11" x14ac:dyDescent="0.3">
      <c r="A749">
        <v>2026</v>
      </c>
      <c r="B749">
        <v>1</v>
      </c>
      <c r="C749" t="s">
        <v>291</v>
      </c>
      <c r="D749" t="s">
        <v>292</v>
      </c>
      <c r="E749" t="str">
        <f>TEXT(9192486000181,"00000000000000")</f>
        <v>09192486000181</v>
      </c>
      <c r="F749" t="s">
        <v>474</v>
      </c>
      <c r="G749" t="s">
        <v>173</v>
      </c>
      <c r="H749">
        <v>78267854</v>
      </c>
      <c r="I749" t="s">
        <v>491</v>
      </c>
      <c r="J749">
        <v>34</v>
      </c>
      <c r="K749">
        <v>90.1</v>
      </c>
    </row>
    <row r="750" spans="1:11" x14ac:dyDescent="0.3">
      <c r="A750">
        <v>2026</v>
      </c>
      <c r="B750">
        <v>1</v>
      </c>
      <c r="C750" t="s">
        <v>291</v>
      </c>
      <c r="D750" t="s">
        <v>292</v>
      </c>
      <c r="E750" t="str">
        <f>TEXT(9192486000181,"00000000000000")</f>
        <v>09192486000181</v>
      </c>
      <c r="F750" t="s">
        <v>474</v>
      </c>
      <c r="G750" t="s">
        <v>173</v>
      </c>
      <c r="H750">
        <v>78338700</v>
      </c>
      <c r="I750" t="s">
        <v>492</v>
      </c>
      <c r="J750">
        <v>18</v>
      </c>
      <c r="K750">
        <v>1170</v>
      </c>
    </row>
    <row r="751" spans="1:11" x14ac:dyDescent="0.3">
      <c r="A751">
        <v>2026</v>
      </c>
      <c r="B751">
        <v>1</v>
      </c>
      <c r="C751" t="s">
        <v>291</v>
      </c>
      <c r="D751" t="s">
        <v>292</v>
      </c>
      <c r="E751" t="str">
        <f>TEXT(9192486000181,"00000000000000")</f>
        <v>09192486000181</v>
      </c>
      <c r="F751" t="s">
        <v>474</v>
      </c>
      <c r="G751" t="s">
        <v>173</v>
      </c>
      <c r="H751">
        <v>78985668</v>
      </c>
      <c r="I751" t="s">
        <v>493</v>
      </c>
      <c r="J751">
        <v>6</v>
      </c>
      <c r="K751">
        <v>543.41999999999996</v>
      </c>
    </row>
    <row r="752" spans="1:11" x14ac:dyDescent="0.3">
      <c r="A752">
        <v>2026</v>
      </c>
      <c r="B752">
        <v>1</v>
      </c>
      <c r="C752" t="s">
        <v>291</v>
      </c>
      <c r="D752" t="s">
        <v>292</v>
      </c>
      <c r="E752" t="str">
        <f>TEXT(9192486000181,"00000000000000")</f>
        <v>09192486000181</v>
      </c>
      <c r="F752" t="s">
        <v>474</v>
      </c>
      <c r="G752" t="s">
        <v>204</v>
      </c>
      <c r="H752">
        <v>90045360</v>
      </c>
      <c r="I752" t="s">
        <v>494</v>
      </c>
      <c r="J752">
        <v>6</v>
      </c>
      <c r="K752">
        <v>96.78</v>
      </c>
    </row>
    <row r="753" spans="1:11" x14ac:dyDescent="0.3">
      <c r="A753">
        <v>2026</v>
      </c>
      <c r="B753">
        <v>1</v>
      </c>
      <c r="C753" t="s">
        <v>291</v>
      </c>
      <c r="D753" t="s">
        <v>292</v>
      </c>
      <c r="E753" t="str">
        <f>TEXT(9192486000181,"00000000000000")</f>
        <v>09192486000181</v>
      </c>
      <c r="F753" t="s">
        <v>474</v>
      </c>
      <c r="G753" t="s">
        <v>204</v>
      </c>
      <c r="H753">
        <v>90072081</v>
      </c>
      <c r="I753" t="s">
        <v>495</v>
      </c>
      <c r="J753">
        <v>46</v>
      </c>
      <c r="K753">
        <v>52.9</v>
      </c>
    </row>
    <row r="754" spans="1:11" x14ac:dyDescent="0.3">
      <c r="A754">
        <v>2026</v>
      </c>
      <c r="B754">
        <v>1</v>
      </c>
      <c r="C754" t="s">
        <v>291</v>
      </c>
      <c r="D754" t="s">
        <v>292</v>
      </c>
      <c r="E754" t="str">
        <f>TEXT(9192486000181,"00000000000000")</f>
        <v>09192486000181</v>
      </c>
      <c r="F754" t="s">
        <v>474</v>
      </c>
      <c r="G754" t="s">
        <v>204</v>
      </c>
      <c r="H754">
        <v>90072294</v>
      </c>
      <c r="I754" t="s">
        <v>496</v>
      </c>
      <c r="J754">
        <v>22</v>
      </c>
      <c r="K754">
        <v>32.340000000000003</v>
      </c>
    </row>
    <row r="755" spans="1:11" x14ac:dyDescent="0.3">
      <c r="A755">
        <v>2026</v>
      </c>
      <c r="B755">
        <v>1</v>
      </c>
      <c r="C755" t="s">
        <v>291</v>
      </c>
      <c r="D755" t="s">
        <v>292</v>
      </c>
      <c r="E755" t="str">
        <f>TEXT(9192486000181,"00000000000000")</f>
        <v>09192486000181</v>
      </c>
      <c r="F755" t="s">
        <v>474</v>
      </c>
      <c r="G755" t="s">
        <v>204</v>
      </c>
      <c r="H755">
        <v>90095430</v>
      </c>
      <c r="I755" t="s">
        <v>497</v>
      </c>
      <c r="J755">
        <v>7</v>
      </c>
      <c r="K755">
        <v>1229.4100000000001</v>
      </c>
    </row>
    <row r="756" spans="1:11" x14ac:dyDescent="0.3">
      <c r="A756">
        <v>2026</v>
      </c>
      <c r="B756">
        <v>1</v>
      </c>
      <c r="C756" t="s">
        <v>291</v>
      </c>
      <c r="D756" t="s">
        <v>292</v>
      </c>
      <c r="E756" t="str">
        <f>TEXT(9192486000181,"00000000000000")</f>
        <v>09192486000181</v>
      </c>
      <c r="F756" t="s">
        <v>474</v>
      </c>
      <c r="G756" t="s">
        <v>204</v>
      </c>
      <c r="H756">
        <v>90123115</v>
      </c>
      <c r="I756" t="s">
        <v>498</v>
      </c>
      <c r="J756">
        <v>28</v>
      </c>
      <c r="K756">
        <v>327.04000000000002</v>
      </c>
    </row>
    <row r="757" spans="1:11" x14ac:dyDescent="0.3">
      <c r="A757">
        <v>2026</v>
      </c>
      <c r="B757">
        <v>1</v>
      </c>
      <c r="C757" t="s">
        <v>291</v>
      </c>
      <c r="D757" t="s">
        <v>292</v>
      </c>
      <c r="E757" t="str">
        <f>TEXT(9192486000181,"00000000000000")</f>
        <v>09192486000181</v>
      </c>
      <c r="F757" t="s">
        <v>474</v>
      </c>
      <c r="G757" t="s">
        <v>204</v>
      </c>
      <c r="H757">
        <v>90137027</v>
      </c>
      <c r="I757" t="s">
        <v>499</v>
      </c>
      <c r="J757">
        <v>4</v>
      </c>
      <c r="K757">
        <v>51</v>
      </c>
    </row>
    <row r="758" spans="1:11" x14ac:dyDescent="0.3">
      <c r="A758">
        <v>2026</v>
      </c>
      <c r="B758">
        <v>1</v>
      </c>
      <c r="C758" t="s">
        <v>291</v>
      </c>
      <c r="D758" t="s">
        <v>292</v>
      </c>
      <c r="E758" t="str">
        <f>TEXT(9192486000181,"00000000000000")</f>
        <v>09192486000181</v>
      </c>
      <c r="F758" t="s">
        <v>474</v>
      </c>
      <c r="G758" t="s">
        <v>204</v>
      </c>
      <c r="H758">
        <v>90137485</v>
      </c>
      <c r="I758" t="s">
        <v>500</v>
      </c>
      <c r="J758">
        <v>30</v>
      </c>
      <c r="K758">
        <v>130.19999999999999</v>
      </c>
    </row>
    <row r="759" spans="1:11" x14ac:dyDescent="0.3">
      <c r="A759">
        <v>2026</v>
      </c>
      <c r="B759">
        <v>1</v>
      </c>
      <c r="C759" t="s">
        <v>291</v>
      </c>
      <c r="D759" t="s">
        <v>292</v>
      </c>
      <c r="E759" t="str">
        <f>TEXT(9192486000181,"00000000000000")</f>
        <v>09192486000181</v>
      </c>
      <c r="F759" t="s">
        <v>474</v>
      </c>
      <c r="G759" t="s">
        <v>204</v>
      </c>
      <c r="H759">
        <v>90159527</v>
      </c>
      <c r="I759" t="s">
        <v>501</v>
      </c>
      <c r="J759">
        <v>30</v>
      </c>
      <c r="K759">
        <v>48.3</v>
      </c>
    </row>
    <row r="760" spans="1:11" x14ac:dyDescent="0.3">
      <c r="A760">
        <v>2026</v>
      </c>
      <c r="B760">
        <v>1</v>
      </c>
      <c r="C760" t="s">
        <v>291</v>
      </c>
      <c r="D760" t="s">
        <v>292</v>
      </c>
      <c r="E760" t="str">
        <f>TEXT(9192486000181,"00000000000000")</f>
        <v>09192486000181</v>
      </c>
      <c r="F760" t="s">
        <v>474</v>
      </c>
      <c r="G760" t="s">
        <v>204</v>
      </c>
      <c r="H760">
        <v>90186710</v>
      </c>
      <c r="I760" t="s">
        <v>502</v>
      </c>
      <c r="J760">
        <v>20</v>
      </c>
      <c r="K760">
        <v>184</v>
      </c>
    </row>
    <row r="761" spans="1:11" x14ac:dyDescent="0.3">
      <c r="A761">
        <v>2026</v>
      </c>
      <c r="B761">
        <v>1</v>
      </c>
      <c r="C761" t="s">
        <v>291</v>
      </c>
      <c r="D761" t="s">
        <v>292</v>
      </c>
      <c r="E761" t="str">
        <f>TEXT(9192486000181,"00000000000000")</f>
        <v>09192486000181</v>
      </c>
      <c r="F761" t="s">
        <v>474</v>
      </c>
      <c r="G761" t="s">
        <v>204</v>
      </c>
      <c r="H761">
        <v>90207564</v>
      </c>
      <c r="I761" t="s">
        <v>503</v>
      </c>
      <c r="J761">
        <v>18</v>
      </c>
      <c r="K761">
        <v>169.02</v>
      </c>
    </row>
    <row r="762" spans="1:11" x14ac:dyDescent="0.3">
      <c r="A762">
        <v>2026</v>
      </c>
      <c r="B762">
        <v>1</v>
      </c>
      <c r="C762" t="s">
        <v>291</v>
      </c>
      <c r="D762" t="s">
        <v>292</v>
      </c>
      <c r="E762" t="str">
        <f>TEXT(9192486000181,"00000000000000")</f>
        <v>09192486000181</v>
      </c>
      <c r="F762" t="s">
        <v>474</v>
      </c>
      <c r="G762" t="s">
        <v>204</v>
      </c>
      <c r="H762">
        <v>90209427</v>
      </c>
      <c r="I762" t="s">
        <v>504</v>
      </c>
      <c r="J762">
        <v>2</v>
      </c>
      <c r="K762">
        <v>6.18</v>
      </c>
    </row>
    <row r="763" spans="1:11" x14ac:dyDescent="0.3">
      <c r="A763">
        <v>2026</v>
      </c>
      <c r="B763">
        <v>1</v>
      </c>
      <c r="C763" t="s">
        <v>291</v>
      </c>
      <c r="D763" t="s">
        <v>292</v>
      </c>
      <c r="E763" t="str">
        <f>TEXT(9192486000181,"00000000000000")</f>
        <v>09192486000181</v>
      </c>
      <c r="F763" t="s">
        <v>474</v>
      </c>
      <c r="G763" t="s">
        <v>204</v>
      </c>
      <c r="H763">
        <v>90251121</v>
      </c>
      <c r="I763" t="s">
        <v>505</v>
      </c>
      <c r="J763">
        <v>12</v>
      </c>
      <c r="K763">
        <v>55.68</v>
      </c>
    </row>
    <row r="764" spans="1:11" x14ac:dyDescent="0.3">
      <c r="A764">
        <v>2026</v>
      </c>
      <c r="B764">
        <v>1</v>
      </c>
      <c r="C764" t="s">
        <v>291</v>
      </c>
      <c r="D764" t="s">
        <v>292</v>
      </c>
      <c r="E764" t="str">
        <f>TEXT(9192486000181,"00000000000000")</f>
        <v>09192486000181</v>
      </c>
      <c r="F764" t="s">
        <v>474</v>
      </c>
      <c r="G764" t="s">
        <v>204</v>
      </c>
      <c r="H764">
        <v>90274083</v>
      </c>
      <c r="I764" t="s">
        <v>506</v>
      </c>
      <c r="J764">
        <v>2</v>
      </c>
      <c r="K764">
        <v>0.42</v>
      </c>
    </row>
    <row r="765" spans="1:11" x14ac:dyDescent="0.3">
      <c r="A765">
        <v>2026</v>
      </c>
      <c r="B765">
        <v>1</v>
      </c>
      <c r="C765" t="s">
        <v>291</v>
      </c>
      <c r="D765" t="s">
        <v>292</v>
      </c>
      <c r="E765" t="str">
        <f>TEXT(9192486000181,"00000000000000")</f>
        <v>09192486000181</v>
      </c>
      <c r="F765" t="s">
        <v>474</v>
      </c>
      <c r="G765" t="s">
        <v>204</v>
      </c>
      <c r="H765">
        <v>90366956</v>
      </c>
      <c r="I765" t="s">
        <v>507</v>
      </c>
      <c r="J765">
        <v>26</v>
      </c>
      <c r="K765">
        <v>71.239999999999995</v>
      </c>
    </row>
    <row r="766" spans="1:11" x14ac:dyDescent="0.3">
      <c r="A766">
        <v>2026</v>
      </c>
      <c r="B766">
        <v>1</v>
      </c>
      <c r="C766" t="s">
        <v>291</v>
      </c>
      <c r="D766" t="s">
        <v>292</v>
      </c>
      <c r="E766" t="str">
        <f>TEXT(9192486000181,"00000000000000")</f>
        <v>09192486000181</v>
      </c>
      <c r="F766" t="s">
        <v>474</v>
      </c>
      <c r="G766" t="s">
        <v>204</v>
      </c>
      <c r="H766">
        <v>90440765</v>
      </c>
      <c r="I766" t="s">
        <v>508</v>
      </c>
      <c r="J766">
        <v>1</v>
      </c>
      <c r="K766">
        <v>0.99</v>
      </c>
    </row>
    <row r="767" spans="1:11" x14ac:dyDescent="0.3">
      <c r="A767">
        <v>2026</v>
      </c>
      <c r="B767">
        <v>1</v>
      </c>
      <c r="C767" t="s">
        <v>291</v>
      </c>
      <c r="D767" t="s">
        <v>292</v>
      </c>
      <c r="E767" t="str">
        <f>TEXT(9192486000181,"00000000000000")</f>
        <v>09192486000181</v>
      </c>
      <c r="F767" t="s">
        <v>474</v>
      </c>
      <c r="G767" t="s">
        <v>204</v>
      </c>
      <c r="H767">
        <v>90448693</v>
      </c>
      <c r="I767" t="s">
        <v>509</v>
      </c>
      <c r="J767">
        <v>20</v>
      </c>
      <c r="K767">
        <v>42.8</v>
      </c>
    </row>
    <row r="768" spans="1:11" x14ac:dyDescent="0.3">
      <c r="A768">
        <v>2026</v>
      </c>
      <c r="B768">
        <v>1</v>
      </c>
      <c r="C768" t="s">
        <v>291</v>
      </c>
      <c r="D768" t="s">
        <v>292</v>
      </c>
      <c r="E768" t="str">
        <f>TEXT(9192486000181,"00000000000000")</f>
        <v>09192486000181</v>
      </c>
      <c r="F768" t="s">
        <v>474</v>
      </c>
      <c r="G768" t="s">
        <v>204</v>
      </c>
      <c r="H768">
        <v>90448707</v>
      </c>
      <c r="I768" t="s">
        <v>510</v>
      </c>
      <c r="J768">
        <v>48</v>
      </c>
      <c r="K768">
        <v>112.8</v>
      </c>
    </row>
    <row r="769" spans="1:11" x14ac:dyDescent="0.3">
      <c r="A769">
        <v>2026</v>
      </c>
      <c r="B769">
        <v>1</v>
      </c>
      <c r="C769" t="s">
        <v>291</v>
      </c>
      <c r="D769" t="s">
        <v>292</v>
      </c>
      <c r="E769" t="str">
        <f>TEXT(10769662000184,"00000000000000")</f>
        <v>10769662000184</v>
      </c>
      <c r="F769" t="s">
        <v>511</v>
      </c>
      <c r="G769" t="s">
        <v>14</v>
      </c>
      <c r="H769">
        <v>99010011</v>
      </c>
      <c r="I769" t="s">
        <v>512</v>
      </c>
      <c r="J769">
        <v>1</v>
      </c>
      <c r="K769">
        <v>500</v>
      </c>
    </row>
    <row r="770" spans="1:11" x14ac:dyDescent="0.3">
      <c r="A770">
        <v>2026</v>
      </c>
      <c r="B770">
        <v>1</v>
      </c>
      <c r="C770" t="s">
        <v>291</v>
      </c>
      <c r="D770" t="s">
        <v>292</v>
      </c>
      <c r="E770" t="str">
        <f>TEXT(10769662000184,"00000000000000")</f>
        <v>10769662000184</v>
      </c>
      <c r="F770" t="s">
        <v>511</v>
      </c>
      <c r="G770" t="s">
        <v>14</v>
      </c>
      <c r="H770">
        <v>99010020</v>
      </c>
      <c r="I770" t="s">
        <v>513</v>
      </c>
      <c r="J770">
        <v>1</v>
      </c>
      <c r="K770">
        <v>500</v>
      </c>
    </row>
    <row r="771" spans="1:11" x14ac:dyDescent="0.3">
      <c r="A771">
        <v>2026</v>
      </c>
      <c r="B771">
        <v>1</v>
      </c>
      <c r="C771" t="s">
        <v>291</v>
      </c>
      <c r="D771" t="s">
        <v>292</v>
      </c>
      <c r="E771" t="str">
        <f>TEXT(10769662000184,"00000000000000")</f>
        <v>10769662000184</v>
      </c>
      <c r="F771" t="s">
        <v>511</v>
      </c>
      <c r="G771" t="s">
        <v>14</v>
      </c>
      <c r="H771">
        <v>99010038</v>
      </c>
      <c r="I771" t="s">
        <v>514</v>
      </c>
      <c r="J771">
        <v>2</v>
      </c>
      <c r="K771">
        <v>800</v>
      </c>
    </row>
    <row r="772" spans="1:11" x14ac:dyDescent="0.3">
      <c r="A772">
        <v>2026</v>
      </c>
      <c r="B772">
        <v>1</v>
      </c>
      <c r="C772" t="s">
        <v>291</v>
      </c>
      <c r="D772" t="s">
        <v>292</v>
      </c>
      <c r="E772" t="str">
        <f>TEXT(10769662000184,"00000000000000")</f>
        <v>10769662000184</v>
      </c>
      <c r="F772" t="s">
        <v>511</v>
      </c>
      <c r="G772" t="s">
        <v>14</v>
      </c>
      <c r="H772">
        <v>99010100</v>
      </c>
      <c r="I772" t="s">
        <v>515</v>
      </c>
      <c r="J772">
        <v>1</v>
      </c>
      <c r="K772">
        <v>6500</v>
      </c>
    </row>
    <row r="773" spans="1:11" x14ac:dyDescent="0.3">
      <c r="A773">
        <v>2026</v>
      </c>
      <c r="B773">
        <v>1</v>
      </c>
      <c r="C773" t="s">
        <v>291</v>
      </c>
      <c r="D773" t="s">
        <v>292</v>
      </c>
      <c r="E773" t="str">
        <f>TEXT(10769662000184,"00000000000000")</f>
        <v>10769662000184</v>
      </c>
      <c r="F773" t="s">
        <v>511</v>
      </c>
      <c r="G773" t="s">
        <v>14</v>
      </c>
      <c r="H773">
        <v>99010135</v>
      </c>
      <c r="I773" t="s">
        <v>516</v>
      </c>
      <c r="J773">
        <v>1</v>
      </c>
      <c r="K773">
        <v>1450</v>
      </c>
    </row>
    <row r="774" spans="1:11" x14ac:dyDescent="0.3">
      <c r="A774">
        <v>2026</v>
      </c>
      <c r="B774">
        <v>1</v>
      </c>
      <c r="C774" t="s">
        <v>291</v>
      </c>
      <c r="D774" t="s">
        <v>292</v>
      </c>
      <c r="E774" t="str">
        <f>TEXT(10769662000184,"00000000000000")</f>
        <v>10769662000184</v>
      </c>
      <c r="F774" t="s">
        <v>511</v>
      </c>
      <c r="G774" t="s">
        <v>14</v>
      </c>
      <c r="H774">
        <v>99010208</v>
      </c>
      <c r="I774" t="s">
        <v>517</v>
      </c>
      <c r="J774">
        <v>2</v>
      </c>
      <c r="K774">
        <v>1700</v>
      </c>
    </row>
    <row r="775" spans="1:11" x14ac:dyDescent="0.3">
      <c r="A775">
        <v>2026</v>
      </c>
      <c r="B775">
        <v>1</v>
      </c>
      <c r="C775" t="s">
        <v>291</v>
      </c>
      <c r="D775" t="s">
        <v>292</v>
      </c>
      <c r="E775" t="str">
        <f>TEXT(11187085000185,"00000000000000")</f>
        <v>11187085000185</v>
      </c>
      <c r="F775" t="s">
        <v>518</v>
      </c>
      <c r="G775" t="s">
        <v>14</v>
      </c>
      <c r="H775">
        <v>30101450</v>
      </c>
      <c r="I775" t="s">
        <v>519</v>
      </c>
      <c r="J775">
        <v>1</v>
      </c>
      <c r="K775">
        <v>462.18</v>
      </c>
    </row>
    <row r="776" spans="1:11" x14ac:dyDescent="0.3">
      <c r="A776">
        <v>2026</v>
      </c>
      <c r="B776">
        <v>1</v>
      </c>
      <c r="C776" t="s">
        <v>291</v>
      </c>
      <c r="D776" t="s">
        <v>292</v>
      </c>
      <c r="E776" t="str">
        <f>TEXT(11187085000185,"00000000000000")</f>
        <v>11187085000185</v>
      </c>
      <c r="F776" t="s">
        <v>518</v>
      </c>
      <c r="G776" t="s">
        <v>14</v>
      </c>
      <c r="H776">
        <v>30101913</v>
      </c>
      <c r="I776" t="s">
        <v>520</v>
      </c>
      <c r="J776">
        <v>1</v>
      </c>
      <c r="K776">
        <v>287.35000000000002</v>
      </c>
    </row>
    <row r="777" spans="1:11" x14ac:dyDescent="0.3">
      <c r="A777">
        <v>2026</v>
      </c>
      <c r="B777">
        <v>1</v>
      </c>
      <c r="C777" t="s">
        <v>291</v>
      </c>
      <c r="D777" t="s">
        <v>292</v>
      </c>
      <c r="E777" t="str">
        <f>TEXT(11187085000185,"00000000000000")</f>
        <v>11187085000185</v>
      </c>
      <c r="F777" t="s">
        <v>518</v>
      </c>
      <c r="G777" t="s">
        <v>14</v>
      </c>
      <c r="H777">
        <v>30303010</v>
      </c>
      <c r="I777" t="s">
        <v>521</v>
      </c>
      <c r="J777">
        <v>3</v>
      </c>
      <c r="K777">
        <v>2172.42</v>
      </c>
    </row>
    <row r="778" spans="1:11" x14ac:dyDescent="0.3">
      <c r="A778">
        <v>2026</v>
      </c>
      <c r="B778">
        <v>1</v>
      </c>
      <c r="C778" t="s">
        <v>291</v>
      </c>
      <c r="D778" t="s">
        <v>292</v>
      </c>
      <c r="E778" t="str">
        <f>TEXT(11187085000185,"00000000000000")</f>
        <v>11187085000185</v>
      </c>
      <c r="F778" t="s">
        <v>518</v>
      </c>
      <c r="G778" t="s">
        <v>14</v>
      </c>
      <c r="H778">
        <v>30303060</v>
      </c>
      <c r="I778" t="s">
        <v>522</v>
      </c>
      <c r="J778">
        <v>3</v>
      </c>
      <c r="K778">
        <v>1086.21</v>
      </c>
    </row>
    <row r="779" spans="1:11" x14ac:dyDescent="0.3">
      <c r="A779">
        <v>2026</v>
      </c>
      <c r="B779">
        <v>1</v>
      </c>
      <c r="C779" t="s">
        <v>291</v>
      </c>
      <c r="D779" t="s">
        <v>292</v>
      </c>
      <c r="E779" t="str">
        <f>TEXT(11187085000185,"00000000000000")</f>
        <v>11187085000185</v>
      </c>
      <c r="F779" t="s">
        <v>518</v>
      </c>
      <c r="G779" t="s">
        <v>14</v>
      </c>
      <c r="H779">
        <v>30306027</v>
      </c>
      <c r="I779" t="s">
        <v>523</v>
      </c>
      <c r="J779">
        <v>11</v>
      </c>
      <c r="K779">
        <v>17081.900000000001</v>
      </c>
    </row>
    <row r="780" spans="1:11" x14ac:dyDescent="0.3">
      <c r="A780">
        <v>2026</v>
      </c>
      <c r="B780">
        <v>1</v>
      </c>
      <c r="C780" t="s">
        <v>291</v>
      </c>
      <c r="D780" t="s">
        <v>292</v>
      </c>
      <c r="E780" t="str">
        <f>TEXT(11187085000185,"00000000000000")</f>
        <v>11187085000185</v>
      </c>
      <c r="F780" t="s">
        <v>518</v>
      </c>
      <c r="G780" t="s">
        <v>14</v>
      </c>
      <c r="H780">
        <v>30307031</v>
      </c>
      <c r="I780" t="s">
        <v>524</v>
      </c>
      <c r="J780">
        <v>1</v>
      </c>
      <c r="K780">
        <v>362.07</v>
      </c>
    </row>
    <row r="781" spans="1:11" x14ac:dyDescent="0.3">
      <c r="A781">
        <v>2026</v>
      </c>
      <c r="B781">
        <v>1</v>
      </c>
      <c r="C781" t="s">
        <v>291</v>
      </c>
      <c r="D781" t="s">
        <v>292</v>
      </c>
      <c r="E781" t="str">
        <f>TEXT(11187085000185,"00000000000000")</f>
        <v>11187085000185</v>
      </c>
      <c r="F781" t="s">
        <v>518</v>
      </c>
      <c r="G781" t="s">
        <v>14</v>
      </c>
      <c r="H781">
        <v>30307066</v>
      </c>
      <c r="I781" t="s">
        <v>525</v>
      </c>
      <c r="J781">
        <v>1</v>
      </c>
      <c r="K781">
        <v>362.07</v>
      </c>
    </row>
    <row r="782" spans="1:11" x14ac:dyDescent="0.3">
      <c r="A782">
        <v>2026</v>
      </c>
      <c r="B782">
        <v>1</v>
      </c>
      <c r="C782" t="s">
        <v>291</v>
      </c>
      <c r="D782" t="s">
        <v>292</v>
      </c>
      <c r="E782" t="str">
        <f>TEXT(11187085000185,"00000000000000")</f>
        <v>11187085000185</v>
      </c>
      <c r="F782" t="s">
        <v>518</v>
      </c>
      <c r="G782" t="s">
        <v>14</v>
      </c>
      <c r="H782">
        <v>30307090</v>
      </c>
      <c r="I782" t="s">
        <v>526</v>
      </c>
      <c r="J782">
        <v>1</v>
      </c>
      <c r="K782">
        <v>362.07</v>
      </c>
    </row>
    <row r="783" spans="1:11" x14ac:dyDescent="0.3">
      <c r="A783">
        <v>2026</v>
      </c>
      <c r="B783">
        <v>1</v>
      </c>
      <c r="C783" t="s">
        <v>291</v>
      </c>
      <c r="D783" t="s">
        <v>292</v>
      </c>
      <c r="E783" t="str">
        <f>TEXT(11187085000185,"00000000000000")</f>
        <v>11187085000185</v>
      </c>
      <c r="F783" t="s">
        <v>518</v>
      </c>
      <c r="G783" t="s">
        <v>14</v>
      </c>
      <c r="H783">
        <v>30307120</v>
      </c>
      <c r="I783" t="s">
        <v>527</v>
      </c>
      <c r="J783">
        <v>1</v>
      </c>
      <c r="K783">
        <v>1552.9</v>
      </c>
    </row>
    <row r="784" spans="1:11" x14ac:dyDescent="0.3">
      <c r="A784">
        <v>2026</v>
      </c>
      <c r="B784">
        <v>1</v>
      </c>
      <c r="C784" t="s">
        <v>291</v>
      </c>
      <c r="D784" t="s">
        <v>292</v>
      </c>
      <c r="E784" t="str">
        <f>TEXT(11187085000185,"00000000000000")</f>
        <v>11187085000185</v>
      </c>
      <c r="F784" t="s">
        <v>518</v>
      </c>
      <c r="G784" t="s">
        <v>14</v>
      </c>
      <c r="H784">
        <v>30308020</v>
      </c>
      <c r="I784" t="s">
        <v>528</v>
      </c>
      <c r="J784">
        <v>1</v>
      </c>
      <c r="K784">
        <v>576.66999999999996</v>
      </c>
    </row>
    <row r="785" spans="1:11" x14ac:dyDescent="0.3">
      <c r="A785">
        <v>2026</v>
      </c>
      <c r="B785">
        <v>1</v>
      </c>
      <c r="C785" t="s">
        <v>291</v>
      </c>
      <c r="D785" t="s">
        <v>292</v>
      </c>
      <c r="E785" t="str">
        <f>TEXT(11187085000185,"00000000000000")</f>
        <v>11187085000185</v>
      </c>
      <c r="F785" t="s">
        <v>518</v>
      </c>
      <c r="G785" t="s">
        <v>14</v>
      </c>
      <c r="H785">
        <v>30310040</v>
      </c>
      <c r="I785" t="s">
        <v>529</v>
      </c>
      <c r="J785">
        <v>1</v>
      </c>
      <c r="K785">
        <v>1153.3499999999999</v>
      </c>
    </row>
    <row r="786" spans="1:11" x14ac:dyDescent="0.3">
      <c r="A786">
        <v>2026</v>
      </c>
      <c r="B786">
        <v>1</v>
      </c>
      <c r="C786" t="s">
        <v>291</v>
      </c>
      <c r="D786" t="s">
        <v>292</v>
      </c>
      <c r="E786" t="str">
        <f>TEXT(11187085000185,"00000000000000")</f>
        <v>11187085000185</v>
      </c>
      <c r="F786" t="s">
        <v>518</v>
      </c>
      <c r="G786" t="s">
        <v>14</v>
      </c>
      <c r="H786">
        <v>30312043</v>
      </c>
      <c r="I786" t="s">
        <v>530</v>
      </c>
      <c r="J786">
        <v>1</v>
      </c>
      <c r="K786">
        <v>462.18</v>
      </c>
    </row>
    <row r="787" spans="1:11" x14ac:dyDescent="0.3">
      <c r="A787">
        <v>2026</v>
      </c>
      <c r="B787">
        <v>1</v>
      </c>
      <c r="C787" t="s">
        <v>291</v>
      </c>
      <c r="D787" t="s">
        <v>292</v>
      </c>
      <c r="E787" t="str">
        <f>TEXT(11187085000185,"00000000000000")</f>
        <v>11187085000185</v>
      </c>
      <c r="F787" t="s">
        <v>518</v>
      </c>
      <c r="G787" t="s">
        <v>14</v>
      </c>
      <c r="H787">
        <v>30602300</v>
      </c>
      <c r="I787" t="s">
        <v>531</v>
      </c>
      <c r="J787">
        <v>2</v>
      </c>
      <c r="K787">
        <v>1448.28</v>
      </c>
    </row>
    <row r="788" spans="1:11" x14ac:dyDescent="0.3">
      <c r="A788">
        <v>2026</v>
      </c>
      <c r="B788">
        <v>1</v>
      </c>
      <c r="C788" t="s">
        <v>291</v>
      </c>
      <c r="D788" t="s">
        <v>292</v>
      </c>
      <c r="E788" t="str">
        <f>TEXT(11187085000185,"00000000000000")</f>
        <v>11187085000185</v>
      </c>
      <c r="F788" t="s">
        <v>518</v>
      </c>
      <c r="G788" t="s">
        <v>14</v>
      </c>
      <c r="H788">
        <v>30731097</v>
      </c>
      <c r="I788" t="s">
        <v>532</v>
      </c>
      <c r="J788">
        <v>1</v>
      </c>
      <c r="K788">
        <v>362.07</v>
      </c>
    </row>
    <row r="789" spans="1:11" x14ac:dyDescent="0.3">
      <c r="A789">
        <v>2026</v>
      </c>
      <c r="B789">
        <v>1</v>
      </c>
      <c r="C789" t="s">
        <v>291</v>
      </c>
      <c r="D789" t="s">
        <v>292</v>
      </c>
      <c r="E789" t="str">
        <f>TEXT(11187085000185,"00000000000000")</f>
        <v>11187085000185</v>
      </c>
      <c r="F789" t="s">
        <v>518</v>
      </c>
      <c r="G789" t="s">
        <v>14</v>
      </c>
      <c r="H789">
        <v>30906113</v>
      </c>
      <c r="I789" t="s">
        <v>533</v>
      </c>
      <c r="J789">
        <v>6</v>
      </c>
      <c r="K789">
        <v>6211.6</v>
      </c>
    </row>
    <row r="790" spans="1:11" x14ac:dyDescent="0.3">
      <c r="A790">
        <v>2026</v>
      </c>
      <c r="B790">
        <v>1</v>
      </c>
      <c r="C790" t="s">
        <v>291</v>
      </c>
      <c r="D790" t="s">
        <v>292</v>
      </c>
      <c r="E790" t="str">
        <f>TEXT(11187085000185,"00000000000000")</f>
        <v>11187085000185</v>
      </c>
      <c r="F790" t="s">
        <v>518</v>
      </c>
      <c r="G790" t="s">
        <v>14</v>
      </c>
      <c r="H790">
        <v>30911079</v>
      </c>
      <c r="I790" t="s">
        <v>534</v>
      </c>
      <c r="J790">
        <v>3</v>
      </c>
      <c r="K790">
        <v>3460.05</v>
      </c>
    </row>
    <row r="791" spans="1:11" x14ac:dyDescent="0.3">
      <c r="A791">
        <v>2026</v>
      </c>
      <c r="B791">
        <v>1</v>
      </c>
      <c r="C791" t="s">
        <v>291</v>
      </c>
      <c r="D791" t="s">
        <v>292</v>
      </c>
      <c r="E791" t="str">
        <f>TEXT(11187085000185,"00000000000000")</f>
        <v>11187085000185</v>
      </c>
      <c r="F791" t="s">
        <v>518</v>
      </c>
      <c r="G791" t="s">
        <v>14</v>
      </c>
      <c r="H791">
        <v>30912032</v>
      </c>
      <c r="I791" t="s">
        <v>535</v>
      </c>
      <c r="J791">
        <v>1</v>
      </c>
      <c r="K791">
        <v>1552.9</v>
      </c>
    </row>
    <row r="792" spans="1:11" x14ac:dyDescent="0.3">
      <c r="A792">
        <v>2026</v>
      </c>
      <c r="B792">
        <v>1</v>
      </c>
      <c r="C792" t="s">
        <v>291</v>
      </c>
      <c r="D792" t="s">
        <v>292</v>
      </c>
      <c r="E792" t="str">
        <f>TEXT(11187085000185,"00000000000000")</f>
        <v>11187085000185</v>
      </c>
      <c r="F792" t="s">
        <v>518</v>
      </c>
      <c r="G792" t="s">
        <v>14</v>
      </c>
      <c r="H792">
        <v>30912040</v>
      </c>
      <c r="I792" t="s">
        <v>536</v>
      </c>
      <c r="J792">
        <v>1</v>
      </c>
      <c r="K792">
        <v>362.07</v>
      </c>
    </row>
    <row r="793" spans="1:11" x14ac:dyDescent="0.3">
      <c r="A793">
        <v>2026</v>
      </c>
      <c r="B793">
        <v>1</v>
      </c>
      <c r="C793" t="s">
        <v>291</v>
      </c>
      <c r="D793" t="s">
        <v>292</v>
      </c>
      <c r="E793" t="str">
        <f>TEXT(11187085000185,"00000000000000")</f>
        <v>11187085000185</v>
      </c>
      <c r="F793" t="s">
        <v>518</v>
      </c>
      <c r="G793" t="s">
        <v>14</v>
      </c>
      <c r="H793">
        <v>30913101</v>
      </c>
      <c r="I793" t="s">
        <v>537</v>
      </c>
      <c r="J793">
        <v>1</v>
      </c>
      <c r="K793">
        <v>724.14</v>
      </c>
    </row>
    <row r="794" spans="1:11" x14ac:dyDescent="0.3">
      <c r="A794">
        <v>2026</v>
      </c>
      <c r="B794">
        <v>1</v>
      </c>
      <c r="C794" t="s">
        <v>291</v>
      </c>
      <c r="D794" t="s">
        <v>292</v>
      </c>
      <c r="E794" t="str">
        <f>TEXT(11187085000185,"00000000000000")</f>
        <v>11187085000185</v>
      </c>
      <c r="F794" t="s">
        <v>518</v>
      </c>
      <c r="G794" t="s">
        <v>14</v>
      </c>
      <c r="H794">
        <v>31005497</v>
      </c>
      <c r="I794" t="s">
        <v>538</v>
      </c>
      <c r="J794">
        <v>5</v>
      </c>
      <c r="K794">
        <v>7764.5</v>
      </c>
    </row>
    <row r="795" spans="1:11" x14ac:dyDescent="0.3">
      <c r="A795">
        <v>2026</v>
      </c>
      <c r="B795">
        <v>1</v>
      </c>
      <c r="C795" t="s">
        <v>291</v>
      </c>
      <c r="D795" t="s">
        <v>292</v>
      </c>
      <c r="E795" t="str">
        <f>TEXT(11187085000185,"00000000000000")</f>
        <v>11187085000185</v>
      </c>
      <c r="F795" t="s">
        <v>518</v>
      </c>
      <c r="G795" t="s">
        <v>14</v>
      </c>
      <c r="H795">
        <v>31009093</v>
      </c>
      <c r="I795" t="s">
        <v>539</v>
      </c>
      <c r="J795">
        <v>1</v>
      </c>
      <c r="K795">
        <v>462.18</v>
      </c>
    </row>
    <row r="796" spans="1:11" x14ac:dyDescent="0.3">
      <c r="A796">
        <v>2026</v>
      </c>
      <c r="B796">
        <v>1</v>
      </c>
      <c r="C796" t="s">
        <v>291</v>
      </c>
      <c r="D796" t="s">
        <v>292</v>
      </c>
      <c r="E796" t="str">
        <f>TEXT(11187085000185,"00000000000000")</f>
        <v>11187085000185</v>
      </c>
      <c r="F796" t="s">
        <v>518</v>
      </c>
      <c r="G796" t="s">
        <v>14</v>
      </c>
      <c r="H796">
        <v>31009115</v>
      </c>
      <c r="I796" t="s">
        <v>163</v>
      </c>
      <c r="J796">
        <v>4</v>
      </c>
      <c r="K796">
        <v>1710.06</v>
      </c>
    </row>
    <row r="797" spans="1:11" x14ac:dyDescent="0.3">
      <c r="A797">
        <v>2026</v>
      </c>
      <c r="B797">
        <v>1</v>
      </c>
      <c r="C797" t="s">
        <v>291</v>
      </c>
      <c r="D797" t="s">
        <v>292</v>
      </c>
      <c r="E797" t="str">
        <f>TEXT(11187085000185,"00000000000000")</f>
        <v>11187085000185</v>
      </c>
      <c r="F797" t="s">
        <v>518</v>
      </c>
      <c r="G797" t="s">
        <v>14</v>
      </c>
      <c r="H797">
        <v>31009140</v>
      </c>
      <c r="I797" t="s">
        <v>540</v>
      </c>
      <c r="J797">
        <v>1</v>
      </c>
      <c r="K797">
        <v>362.07</v>
      </c>
    </row>
    <row r="798" spans="1:11" x14ac:dyDescent="0.3">
      <c r="A798">
        <v>2026</v>
      </c>
      <c r="B798">
        <v>1</v>
      </c>
      <c r="C798" t="s">
        <v>291</v>
      </c>
      <c r="D798" t="s">
        <v>292</v>
      </c>
      <c r="E798" t="str">
        <f>TEXT(11187085000185,"00000000000000")</f>
        <v>11187085000185</v>
      </c>
      <c r="F798" t="s">
        <v>518</v>
      </c>
      <c r="G798" t="s">
        <v>14</v>
      </c>
      <c r="H798">
        <v>31009166</v>
      </c>
      <c r="I798" t="s">
        <v>164</v>
      </c>
      <c r="J798">
        <v>3</v>
      </c>
      <c r="K798">
        <v>1155.45</v>
      </c>
    </row>
    <row r="799" spans="1:11" x14ac:dyDescent="0.3">
      <c r="A799">
        <v>2026</v>
      </c>
      <c r="B799">
        <v>1</v>
      </c>
      <c r="C799" t="s">
        <v>291</v>
      </c>
      <c r="D799" t="s">
        <v>292</v>
      </c>
      <c r="E799" t="str">
        <f>TEXT(11187085000185,"00000000000000")</f>
        <v>11187085000185</v>
      </c>
      <c r="F799" t="s">
        <v>518</v>
      </c>
      <c r="G799" t="s">
        <v>14</v>
      </c>
      <c r="H799">
        <v>31009255</v>
      </c>
      <c r="I799" t="s">
        <v>541</v>
      </c>
      <c r="J799">
        <v>1</v>
      </c>
      <c r="K799">
        <v>2038.29</v>
      </c>
    </row>
    <row r="800" spans="1:11" x14ac:dyDescent="0.3">
      <c r="A800">
        <v>2026</v>
      </c>
      <c r="B800">
        <v>1</v>
      </c>
      <c r="C800" t="s">
        <v>291</v>
      </c>
      <c r="D800" t="s">
        <v>292</v>
      </c>
      <c r="E800" t="str">
        <f>TEXT(11187085000185,"00000000000000")</f>
        <v>11187085000185</v>
      </c>
      <c r="F800" t="s">
        <v>518</v>
      </c>
      <c r="G800" t="s">
        <v>14</v>
      </c>
      <c r="H800">
        <v>31203043</v>
      </c>
      <c r="I800" t="s">
        <v>542</v>
      </c>
      <c r="J800">
        <v>1</v>
      </c>
      <c r="K800">
        <v>462.18</v>
      </c>
    </row>
    <row r="801" spans="1:11" x14ac:dyDescent="0.3">
      <c r="A801">
        <v>2026</v>
      </c>
      <c r="B801">
        <v>1</v>
      </c>
      <c r="C801" t="s">
        <v>291</v>
      </c>
      <c r="D801" t="s">
        <v>292</v>
      </c>
      <c r="E801" t="str">
        <f>TEXT(11187085000185,"00000000000000")</f>
        <v>11187085000185</v>
      </c>
      <c r="F801" t="s">
        <v>518</v>
      </c>
      <c r="G801" t="s">
        <v>14</v>
      </c>
      <c r="H801">
        <v>31403204</v>
      </c>
      <c r="I801" t="s">
        <v>543</v>
      </c>
      <c r="J801">
        <v>1</v>
      </c>
      <c r="K801">
        <v>1153.3499999999999</v>
      </c>
    </row>
    <row r="802" spans="1:11" x14ac:dyDescent="0.3">
      <c r="A802">
        <v>2026</v>
      </c>
      <c r="B802">
        <v>1</v>
      </c>
      <c r="C802" t="s">
        <v>291</v>
      </c>
      <c r="D802" t="s">
        <v>292</v>
      </c>
      <c r="E802" t="str">
        <f>TEXT(11187085000185,"00000000000000")</f>
        <v>11187085000185</v>
      </c>
      <c r="F802" t="s">
        <v>518</v>
      </c>
      <c r="G802" t="s">
        <v>14</v>
      </c>
      <c r="H802">
        <v>31602231</v>
      </c>
      <c r="I802" t="s">
        <v>544</v>
      </c>
      <c r="J802">
        <v>14</v>
      </c>
      <c r="K802">
        <v>7718.37</v>
      </c>
    </row>
    <row r="803" spans="1:11" x14ac:dyDescent="0.3">
      <c r="A803">
        <v>2026</v>
      </c>
      <c r="B803">
        <v>1</v>
      </c>
      <c r="C803" t="s">
        <v>291</v>
      </c>
      <c r="D803" t="s">
        <v>292</v>
      </c>
      <c r="E803" t="str">
        <f>TEXT(11187085000185,"00000000000000")</f>
        <v>11187085000185</v>
      </c>
      <c r="F803" t="s">
        <v>518</v>
      </c>
      <c r="G803" t="s">
        <v>14</v>
      </c>
      <c r="H803">
        <v>31602240</v>
      </c>
      <c r="I803" t="s">
        <v>545</v>
      </c>
      <c r="J803">
        <v>83</v>
      </c>
      <c r="K803">
        <v>65481.36</v>
      </c>
    </row>
    <row r="804" spans="1:11" x14ac:dyDescent="0.3">
      <c r="A804">
        <v>2026</v>
      </c>
      <c r="B804">
        <v>1</v>
      </c>
      <c r="C804" t="s">
        <v>291</v>
      </c>
      <c r="D804" t="s">
        <v>292</v>
      </c>
      <c r="E804" t="str">
        <f>TEXT(11187085000185,"00000000000000")</f>
        <v>11187085000185</v>
      </c>
      <c r="F804" t="s">
        <v>518</v>
      </c>
      <c r="G804" t="s">
        <v>14</v>
      </c>
      <c r="H804">
        <v>31602258</v>
      </c>
      <c r="I804" t="s">
        <v>546</v>
      </c>
      <c r="J804">
        <v>4</v>
      </c>
      <c r="K804">
        <v>1468.28</v>
      </c>
    </row>
    <row r="805" spans="1:11" x14ac:dyDescent="0.3">
      <c r="A805">
        <v>2026</v>
      </c>
      <c r="B805">
        <v>1</v>
      </c>
      <c r="C805" t="s">
        <v>291</v>
      </c>
      <c r="D805" t="s">
        <v>292</v>
      </c>
      <c r="E805" t="str">
        <f>TEXT(11187085000185,"00000000000000")</f>
        <v>11187085000185</v>
      </c>
      <c r="F805" t="s">
        <v>518</v>
      </c>
      <c r="G805" t="s">
        <v>14</v>
      </c>
      <c r="H805">
        <v>31602266</v>
      </c>
      <c r="I805" t="s">
        <v>547</v>
      </c>
      <c r="J805">
        <v>4</v>
      </c>
      <c r="K805">
        <v>1617.63</v>
      </c>
    </row>
    <row r="806" spans="1:11" x14ac:dyDescent="0.3">
      <c r="A806">
        <v>2026</v>
      </c>
      <c r="B806">
        <v>1</v>
      </c>
      <c r="C806" t="s">
        <v>291</v>
      </c>
      <c r="D806" t="s">
        <v>292</v>
      </c>
      <c r="E806" t="str">
        <f>TEXT(11187085000185,"00000000000000")</f>
        <v>11187085000185</v>
      </c>
      <c r="F806" t="s">
        <v>518</v>
      </c>
      <c r="G806" t="s">
        <v>14</v>
      </c>
      <c r="H806">
        <v>31602274</v>
      </c>
      <c r="I806" t="s">
        <v>548</v>
      </c>
      <c r="J806">
        <v>11</v>
      </c>
      <c r="K806">
        <v>6151.58</v>
      </c>
    </row>
    <row r="807" spans="1:11" x14ac:dyDescent="0.3">
      <c r="A807">
        <v>2026</v>
      </c>
      <c r="B807">
        <v>1</v>
      </c>
      <c r="C807" t="s">
        <v>291</v>
      </c>
      <c r="D807" t="s">
        <v>292</v>
      </c>
      <c r="E807" t="str">
        <f>TEXT(11187085000185,"00000000000000")</f>
        <v>11187085000185</v>
      </c>
      <c r="F807" t="s">
        <v>518</v>
      </c>
      <c r="G807" t="s">
        <v>14</v>
      </c>
      <c r="H807">
        <v>31602282</v>
      </c>
      <c r="I807" t="s">
        <v>549</v>
      </c>
      <c r="J807">
        <v>10</v>
      </c>
      <c r="K807">
        <v>8074.15</v>
      </c>
    </row>
    <row r="808" spans="1:11" x14ac:dyDescent="0.3">
      <c r="A808">
        <v>2026</v>
      </c>
      <c r="B808">
        <v>1</v>
      </c>
      <c r="C808" t="s">
        <v>291</v>
      </c>
      <c r="D808" t="s">
        <v>292</v>
      </c>
      <c r="E808" t="str">
        <f>TEXT(11187085000185,"00000000000000")</f>
        <v>11187085000185</v>
      </c>
      <c r="F808" t="s">
        <v>518</v>
      </c>
      <c r="G808" t="s">
        <v>14</v>
      </c>
      <c r="H808">
        <v>40809226</v>
      </c>
      <c r="I808" t="s">
        <v>550</v>
      </c>
      <c r="J808">
        <v>1</v>
      </c>
      <c r="K808">
        <v>724.14</v>
      </c>
    </row>
    <row r="809" spans="1:11" x14ac:dyDescent="0.3">
      <c r="A809">
        <v>2026</v>
      </c>
      <c r="B809">
        <v>1</v>
      </c>
      <c r="C809" t="s">
        <v>291</v>
      </c>
      <c r="D809" t="s">
        <v>292</v>
      </c>
      <c r="E809" t="str">
        <f>TEXT(11544848000106,"00000000000000")</f>
        <v>11544848000106</v>
      </c>
      <c r="F809" t="s">
        <v>551</v>
      </c>
      <c r="G809" t="s">
        <v>14</v>
      </c>
      <c r="H809">
        <v>32080050</v>
      </c>
      <c r="I809" t="s">
        <v>146</v>
      </c>
      <c r="J809">
        <v>11</v>
      </c>
      <c r="K809">
        <v>731.06</v>
      </c>
    </row>
    <row r="810" spans="1:11" x14ac:dyDescent="0.3">
      <c r="A810">
        <v>2026</v>
      </c>
      <c r="B810">
        <v>1</v>
      </c>
      <c r="C810" t="s">
        <v>291</v>
      </c>
      <c r="D810" t="s">
        <v>292</v>
      </c>
      <c r="E810" t="str">
        <f>TEXT(11544848000106,"00000000000000")</f>
        <v>11544848000106</v>
      </c>
      <c r="F810" t="s">
        <v>551</v>
      </c>
      <c r="G810" t="s">
        <v>14</v>
      </c>
      <c r="H810">
        <v>33010021</v>
      </c>
      <c r="I810" t="s">
        <v>148</v>
      </c>
      <c r="J810">
        <v>2</v>
      </c>
      <c r="K810">
        <v>287.2</v>
      </c>
    </row>
    <row r="811" spans="1:11" x14ac:dyDescent="0.3">
      <c r="A811">
        <v>2026</v>
      </c>
      <c r="B811">
        <v>1</v>
      </c>
      <c r="C811" t="s">
        <v>291</v>
      </c>
      <c r="D811" t="s">
        <v>292</v>
      </c>
      <c r="E811" t="str">
        <f>TEXT(11544848000106,"00000000000000")</f>
        <v>11544848000106</v>
      </c>
      <c r="F811" t="s">
        <v>551</v>
      </c>
      <c r="G811" t="s">
        <v>14</v>
      </c>
      <c r="H811">
        <v>33010030</v>
      </c>
      <c r="I811" t="s">
        <v>149</v>
      </c>
      <c r="J811">
        <v>1</v>
      </c>
      <c r="K811">
        <v>61.79</v>
      </c>
    </row>
    <row r="812" spans="1:11" x14ac:dyDescent="0.3">
      <c r="A812">
        <v>2026</v>
      </c>
      <c r="B812">
        <v>1</v>
      </c>
      <c r="C812" t="s">
        <v>291</v>
      </c>
      <c r="D812" t="s">
        <v>292</v>
      </c>
      <c r="E812" t="str">
        <f>TEXT(11544848000106,"00000000000000")</f>
        <v>11544848000106</v>
      </c>
      <c r="F812" t="s">
        <v>551</v>
      </c>
      <c r="G812" t="s">
        <v>14</v>
      </c>
      <c r="H812">
        <v>33010048</v>
      </c>
      <c r="I812" t="s">
        <v>150</v>
      </c>
      <c r="J812">
        <v>2</v>
      </c>
      <c r="K812">
        <v>118.88</v>
      </c>
    </row>
    <row r="813" spans="1:11" x14ac:dyDescent="0.3">
      <c r="A813">
        <v>2026</v>
      </c>
      <c r="B813">
        <v>1</v>
      </c>
      <c r="C813" t="s">
        <v>291</v>
      </c>
      <c r="D813" t="s">
        <v>292</v>
      </c>
      <c r="E813" t="str">
        <f>TEXT(11544848000106,"00000000000000")</f>
        <v>11544848000106</v>
      </c>
      <c r="F813" t="s">
        <v>551</v>
      </c>
      <c r="G813" t="s">
        <v>14</v>
      </c>
      <c r="H813">
        <v>33010129</v>
      </c>
      <c r="I813" t="s">
        <v>151</v>
      </c>
      <c r="J813">
        <v>13</v>
      </c>
      <c r="K813">
        <v>796.51</v>
      </c>
    </row>
    <row r="814" spans="1:11" x14ac:dyDescent="0.3">
      <c r="A814">
        <v>2026</v>
      </c>
      <c r="B814">
        <v>1</v>
      </c>
      <c r="C814" t="s">
        <v>291</v>
      </c>
      <c r="D814" t="s">
        <v>292</v>
      </c>
      <c r="E814" t="str">
        <f>TEXT(11544848000106,"00000000000000")</f>
        <v>11544848000106</v>
      </c>
      <c r="F814" t="s">
        <v>551</v>
      </c>
      <c r="G814" t="s">
        <v>14</v>
      </c>
      <c r="H814">
        <v>33010323</v>
      </c>
      <c r="I814" t="s">
        <v>156</v>
      </c>
      <c r="J814">
        <v>2</v>
      </c>
      <c r="K814">
        <v>235.36</v>
      </c>
    </row>
    <row r="815" spans="1:11" x14ac:dyDescent="0.3">
      <c r="A815">
        <v>2026</v>
      </c>
      <c r="B815">
        <v>1</v>
      </c>
      <c r="C815" t="s">
        <v>291</v>
      </c>
      <c r="D815" t="s">
        <v>292</v>
      </c>
      <c r="E815" t="str">
        <f>TEXT(11544848000106,"00000000000000")</f>
        <v>11544848000106</v>
      </c>
      <c r="F815" t="s">
        <v>551</v>
      </c>
      <c r="G815" t="s">
        <v>14</v>
      </c>
      <c r="H815">
        <v>33010358</v>
      </c>
      <c r="I815" t="s">
        <v>552</v>
      </c>
      <c r="J815">
        <v>2</v>
      </c>
      <c r="K815">
        <v>319.16000000000003</v>
      </c>
    </row>
    <row r="816" spans="1:11" x14ac:dyDescent="0.3">
      <c r="A816">
        <v>2026</v>
      </c>
      <c r="B816">
        <v>1</v>
      </c>
      <c r="C816" t="s">
        <v>291</v>
      </c>
      <c r="D816" t="s">
        <v>292</v>
      </c>
      <c r="E816" t="str">
        <f>TEXT(11933822000141,"00000000000000")</f>
        <v>11933822000141</v>
      </c>
      <c r="F816" t="s">
        <v>553</v>
      </c>
      <c r="G816" t="s">
        <v>14</v>
      </c>
      <c r="H816">
        <v>33010048</v>
      </c>
      <c r="I816" t="s">
        <v>150</v>
      </c>
      <c r="J816">
        <v>10</v>
      </c>
      <c r="K816">
        <v>594.4</v>
      </c>
    </row>
    <row r="817" spans="1:11" x14ac:dyDescent="0.3">
      <c r="A817">
        <v>2026</v>
      </c>
      <c r="B817">
        <v>1</v>
      </c>
      <c r="C817" t="s">
        <v>291</v>
      </c>
      <c r="D817" t="s">
        <v>292</v>
      </c>
      <c r="E817" t="str">
        <f>TEXT(11933822000141,"00000000000000")</f>
        <v>11933822000141</v>
      </c>
      <c r="F817" t="s">
        <v>553</v>
      </c>
      <c r="G817" t="s">
        <v>14</v>
      </c>
      <c r="H817">
        <v>33010129</v>
      </c>
      <c r="I817" t="s">
        <v>151</v>
      </c>
      <c r="J817">
        <v>5</v>
      </c>
      <c r="K817">
        <v>289.39999999999998</v>
      </c>
    </row>
    <row r="818" spans="1:11" x14ac:dyDescent="0.3">
      <c r="A818">
        <v>2026</v>
      </c>
      <c r="B818">
        <v>1</v>
      </c>
      <c r="C818" t="s">
        <v>291</v>
      </c>
      <c r="D818" t="s">
        <v>292</v>
      </c>
      <c r="E818" t="str">
        <f>TEXT(11933822000141,"00000000000000")</f>
        <v>11933822000141</v>
      </c>
      <c r="F818" t="s">
        <v>553</v>
      </c>
      <c r="G818" t="s">
        <v>14</v>
      </c>
      <c r="H818">
        <v>33010323</v>
      </c>
      <c r="I818" t="s">
        <v>156</v>
      </c>
      <c r="J818">
        <v>1</v>
      </c>
      <c r="K818">
        <v>107.5</v>
      </c>
    </row>
    <row r="819" spans="1:11" x14ac:dyDescent="0.3">
      <c r="A819">
        <v>2026</v>
      </c>
      <c r="B819">
        <v>1</v>
      </c>
      <c r="C819" t="s">
        <v>291</v>
      </c>
      <c r="D819" t="s">
        <v>292</v>
      </c>
      <c r="E819" t="str">
        <f>TEXT(11933822000141,"00000000000000")</f>
        <v>11933822000141</v>
      </c>
      <c r="F819" t="s">
        <v>553</v>
      </c>
      <c r="G819" t="s">
        <v>14</v>
      </c>
      <c r="H819">
        <v>34010017</v>
      </c>
      <c r="I819" t="s">
        <v>157</v>
      </c>
      <c r="J819">
        <v>6</v>
      </c>
      <c r="K819">
        <v>1473.38</v>
      </c>
    </row>
    <row r="820" spans="1:11" x14ac:dyDescent="0.3">
      <c r="A820">
        <v>2026</v>
      </c>
      <c r="B820">
        <v>1</v>
      </c>
      <c r="C820" t="s">
        <v>291</v>
      </c>
      <c r="D820" t="s">
        <v>292</v>
      </c>
      <c r="E820" t="str">
        <f>TEXT(11933822000141,"00000000000000")</f>
        <v>11933822000141</v>
      </c>
      <c r="F820" t="s">
        <v>553</v>
      </c>
      <c r="G820" t="s">
        <v>14</v>
      </c>
      <c r="H820">
        <v>34010033</v>
      </c>
      <c r="I820" t="s">
        <v>159</v>
      </c>
      <c r="J820">
        <v>1</v>
      </c>
      <c r="K820">
        <v>200.34</v>
      </c>
    </row>
    <row r="821" spans="1:11" x14ac:dyDescent="0.3">
      <c r="A821">
        <v>2026</v>
      </c>
      <c r="B821">
        <v>1</v>
      </c>
      <c r="C821" t="s">
        <v>291</v>
      </c>
      <c r="D821" t="s">
        <v>292</v>
      </c>
      <c r="E821" t="str">
        <f>TEXT(11933822000141,"00000000000000")</f>
        <v>11933822000141</v>
      </c>
      <c r="F821" t="s">
        <v>553</v>
      </c>
      <c r="G821" t="s">
        <v>14</v>
      </c>
      <c r="H821">
        <v>34010068</v>
      </c>
      <c r="I821" t="s">
        <v>160</v>
      </c>
      <c r="J821">
        <v>5</v>
      </c>
      <c r="K821">
        <v>1101.55</v>
      </c>
    </row>
    <row r="822" spans="1:11" x14ac:dyDescent="0.3">
      <c r="A822">
        <v>2026</v>
      </c>
      <c r="B822">
        <v>1</v>
      </c>
      <c r="C822" t="s">
        <v>291</v>
      </c>
      <c r="D822" t="s">
        <v>292</v>
      </c>
      <c r="E822" t="str">
        <f>TEXT(11933822000141,"00000000000000")</f>
        <v>11933822000141</v>
      </c>
      <c r="F822" t="s">
        <v>553</v>
      </c>
      <c r="G822" t="s">
        <v>14</v>
      </c>
      <c r="H822">
        <v>34010092</v>
      </c>
      <c r="I822" t="s">
        <v>307</v>
      </c>
      <c r="J822">
        <v>2</v>
      </c>
      <c r="K822">
        <v>539.04</v>
      </c>
    </row>
    <row r="823" spans="1:11" x14ac:dyDescent="0.3">
      <c r="A823">
        <v>2026</v>
      </c>
      <c r="B823">
        <v>1</v>
      </c>
      <c r="C823" t="s">
        <v>291</v>
      </c>
      <c r="D823" t="s">
        <v>292</v>
      </c>
      <c r="E823" t="str">
        <f>TEXT(11933822000141,"00000000000000")</f>
        <v>11933822000141</v>
      </c>
      <c r="F823" t="s">
        <v>553</v>
      </c>
      <c r="G823" t="s">
        <v>14</v>
      </c>
      <c r="H823">
        <v>34010106</v>
      </c>
      <c r="I823" t="s">
        <v>161</v>
      </c>
      <c r="J823">
        <v>5</v>
      </c>
      <c r="K823">
        <v>916.39</v>
      </c>
    </row>
    <row r="824" spans="1:11" x14ac:dyDescent="0.3">
      <c r="A824">
        <v>2026</v>
      </c>
      <c r="B824">
        <v>1</v>
      </c>
      <c r="C824" t="s">
        <v>291</v>
      </c>
      <c r="D824" t="s">
        <v>292</v>
      </c>
      <c r="E824" t="str">
        <f>TEXT(11933822000141,"00000000000000")</f>
        <v>11933822000141</v>
      </c>
      <c r="F824" t="s">
        <v>553</v>
      </c>
      <c r="G824" t="s">
        <v>14</v>
      </c>
      <c r="H824">
        <v>34010130</v>
      </c>
      <c r="I824" t="s">
        <v>162</v>
      </c>
      <c r="J824">
        <v>4</v>
      </c>
      <c r="K824">
        <v>899.22</v>
      </c>
    </row>
    <row r="825" spans="1:11" x14ac:dyDescent="0.3">
      <c r="A825">
        <v>2026</v>
      </c>
      <c r="B825">
        <v>1</v>
      </c>
      <c r="C825" t="s">
        <v>291</v>
      </c>
      <c r="D825" t="s">
        <v>292</v>
      </c>
      <c r="E825" t="str">
        <f>TEXT(11933822000141,"00000000000000")</f>
        <v>11933822000141</v>
      </c>
      <c r="F825" t="s">
        <v>553</v>
      </c>
      <c r="G825" t="s">
        <v>14</v>
      </c>
      <c r="H825">
        <v>36010014</v>
      </c>
      <c r="I825" t="s">
        <v>554</v>
      </c>
      <c r="J825">
        <v>2</v>
      </c>
      <c r="K825">
        <v>1087.26</v>
      </c>
    </row>
    <row r="826" spans="1:11" x14ac:dyDescent="0.3">
      <c r="A826">
        <v>2026</v>
      </c>
      <c r="B826">
        <v>1</v>
      </c>
      <c r="C826" t="s">
        <v>291</v>
      </c>
      <c r="D826" t="s">
        <v>292</v>
      </c>
      <c r="E826" t="str">
        <f>TEXT(11933822000141,"00000000000000")</f>
        <v>11933822000141</v>
      </c>
      <c r="F826" t="s">
        <v>553</v>
      </c>
      <c r="G826" t="s">
        <v>14</v>
      </c>
      <c r="H826">
        <v>36010022</v>
      </c>
      <c r="I826" t="s">
        <v>555</v>
      </c>
      <c r="J826">
        <v>3</v>
      </c>
      <c r="K826">
        <v>1597.5</v>
      </c>
    </row>
    <row r="827" spans="1:11" x14ac:dyDescent="0.3">
      <c r="A827">
        <v>2026</v>
      </c>
      <c r="B827">
        <v>1</v>
      </c>
      <c r="C827" t="s">
        <v>291</v>
      </c>
      <c r="D827" t="s">
        <v>292</v>
      </c>
      <c r="E827" t="str">
        <f>TEXT(11933822000141,"00000000000000")</f>
        <v>11933822000141</v>
      </c>
      <c r="F827" t="s">
        <v>553</v>
      </c>
      <c r="G827" t="s">
        <v>14</v>
      </c>
      <c r="H827">
        <v>36010030</v>
      </c>
      <c r="I827" t="s">
        <v>556</v>
      </c>
      <c r="J827">
        <v>1</v>
      </c>
      <c r="K827">
        <v>474.2</v>
      </c>
    </row>
    <row r="828" spans="1:11" x14ac:dyDescent="0.3">
      <c r="A828">
        <v>2026</v>
      </c>
      <c r="B828">
        <v>1</v>
      </c>
      <c r="C828" t="s">
        <v>291</v>
      </c>
      <c r="D828" t="s">
        <v>292</v>
      </c>
      <c r="E828" t="str">
        <f>TEXT(11933822000141,"00000000000000")</f>
        <v>11933822000141</v>
      </c>
      <c r="F828" t="s">
        <v>553</v>
      </c>
      <c r="G828" t="s">
        <v>14</v>
      </c>
      <c r="H828">
        <v>36010049</v>
      </c>
      <c r="I828" t="s">
        <v>557</v>
      </c>
      <c r="J828">
        <v>20</v>
      </c>
      <c r="K828">
        <v>11005.63</v>
      </c>
    </row>
    <row r="829" spans="1:11" x14ac:dyDescent="0.3">
      <c r="A829">
        <v>2026</v>
      </c>
      <c r="B829">
        <v>1</v>
      </c>
      <c r="C829" t="s">
        <v>291</v>
      </c>
      <c r="D829" t="s">
        <v>292</v>
      </c>
      <c r="E829" t="str">
        <f>TEXT(11933822000141,"00000000000000")</f>
        <v>11933822000141</v>
      </c>
      <c r="F829" t="s">
        <v>553</v>
      </c>
      <c r="G829" t="s">
        <v>14</v>
      </c>
      <c r="H829">
        <v>36010090</v>
      </c>
      <c r="I829" t="s">
        <v>558</v>
      </c>
      <c r="J829">
        <v>1</v>
      </c>
      <c r="K829">
        <v>572.78</v>
      </c>
    </row>
    <row r="830" spans="1:11" x14ac:dyDescent="0.3">
      <c r="A830">
        <v>2026</v>
      </c>
      <c r="B830">
        <v>1</v>
      </c>
      <c r="C830" t="s">
        <v>291</v>
      </c>
      <c r="D830" t="s">
        <v>292</v>
      </c>
      <c r="E830" t="str">
        <f>TEXT(11933822000141,"00000000000000")</f>
        <v>11933822000141</v>
      </c>
      <c r="F830" t="s">
        <v>553</v>
      </c>
      <c r="G830" t="s">
        <v>14</v>
      </c>
      <c r="H830">
        <v>36010103</v>
      </c>
      <c r="I830" t="s">
        <v>559</v>
      </c>
      <c r="J830">
        <v>7</v>
      </c>
      <c r="K830">
        <v>3713.72</v>
      </c>
    </row>
    <row r="831" spans="1:11" x14ac:dyDescent="0.3">
      <c r="A831">
        <v>2026</v>
      </c>
      <c r="B831">
        <v>1</v>
      </c>
      <c r="C831" t="s">
        <v>291</v>
      </c>
      <c r="D831" t="s">
        <v>292</v>
      </c>
      <c r="E831" t="str">
        <f>TEXT(11933822000141,"00000000000000")</f>
        <v>11933822000141</v>
      </c>
      <c r="F831" t="s">
        <v>553</v>
      </c>
      <c r="G831" t="s">
        <v>14</v>
      </c>
      <c r="H831">
        <v>36010120</v>
      </c>
      <c r="I831" t="s">
        <v>560</v>
      </c>
      <c r="J831">
        <v>4</v>
      </c>
      <c r="K831">
        <v>2149.52</v>
      </c>
    </row>
    <row r="832" spans="1:11" x14ac:dyDescent="0.3">
      <c r="A832">
        <v>2026</v>
      </c>
      <c r="B832">
        <v>1</v>
      </c>
      <c r="C832" t="s">
        <v>291</v>
      </c>
      <c r="D832" t="s">
        <v>292</v>
      </c>
      <c r="E832" t="str">
        <f>TEXT(11933822000141,"00000000000000")</f>
        <v>11933822000141</v>
      </c>
      <c r="F832" t="s">
        <v>553</v>
      </c>
      <c r="G832" t="s">
        <v>14</v>
      </c>
      <c r="H832">
        <v>36010146</v>
      </c>
      <c r="I832" t="s">
        <v>561</v>
      </c>
      <c r="J832">
        <v>2</v>
      </c>
      <c r="K832">
        <v>1129.6600000000001</v>
      </c>
    </row>
    <row r="833" spans="1:11" x14ac:dyDescent="0.3">
      <c r="A833">
        <v>2026</v>
      </c>
      <c r="B833">
        <v>1</v>
      </c>
      <c r="C833" t="s">
        <v>291</v>
      </c>
      <c r="D833" t="s">
        <v>292</v>
      </c>
      <c r="E833" t="str">
        <f>TEXT(11933822000141,"00000000000000")</f>
        <v>11933822000141</v>
      </c>
      <c r="F833" t="s">
        <v>553</v>
      </c>
      <c r="G833" t="s">
        <v>14</v>
      </c>
      <c r="H833">
        <v>36010154</v>
      </c>
      <c r="I833" t="s">
        <v>562</v>
      </c>
      <c r="J833">
        <v>15</v>
      </c>
      <c r="K833">
        <v>8181.48</v>
      </c>
    </row>
    <row r="834" spans="1:11" x14ac:dyDescent="0.3">
      <c r="A834">
        <v>2026</v>
      </c>
      <c r="B834">
        <v>1</v>
      </c>
      <c r="C834" t="s">
        <v>291</v>
      </c>
      <c r="D834" t="s">
        <v>292</v>
      </c>
      <c r="E834" t="str">
        <f>TEXT(11933822000141,"00000000000000")</f>
        <v>11933822000141</v>
      </c>
      <c r="F834" t="s">
        <v>553</v>
      </c>
      <c r="G834" t="s">
        <v>14</v>
      </c>
      <c r="H834">
        <v>36010162</v>
      </c>
      <c r="I834" t="s">
        <v>563</v>
      </c>
      <c r="J834">
        <v>4</v>
      </c>
      <c r="K834">
        <v>2065.34</v>
      </c>
    </row>
    <row r="835" spans="1:11" x14ac:dyDescent="0.3">
      <c r="A835">
        <v>2026</v>
      </c>
      <c r="B835">
        <v>1</v>
      </c>
      <c r="C835" t="s">
        <v>291</v>
      </c>
      <c r="D835" t="s">
        <v>292</v>
      </c>
      <c r="E835" t="str">
        <f>TEXT(11933822000141,"00000000000000")</f>
        <v>11933822000141</v>
      </c>
      <c r="F835" t="s">
        <v>553</v>
      </c>
      <c r="G835" t="s">
        <v>14</v>
      </c>
      <c r="H835">
        <v>36010170</v>
      </c>
      <c r="I835" t="s">
        <v>564</v>
      </c>
      <c r="J835">
        <v>2</v>
      </c>
      <c r="K835">
        <v>1005.22</v>
      </c>
    </row>
    <row r="836" spans="1:11" x14ac:dyDescent="0.3">
      <c r="A836">
        <v>2026</v>
      </c>
      <c r="B836">
        <v>1</v>
      </c>
      <c r="C836" t="s">
        <v>291</v>
      </c>
      <c r="D836" t="s">
        <v>292</v>
      </c>
      <c r="E836" t="str">
        <f>TEXT(11933822000141,"00000000000000")</f>
        <v>11933822000141</v>
      </c>
      <c r="F836" t="s">
        <v>553</v>
      </c>
      <c r="G836" t="s">
        <v>173</v>
      </c>
      <c r="H836">
        <v>64647</v>
      </c>
      <c r="I836" t="s">
        <v>296</v>
      </c>
      <c r="J836">
        <v>16</v>
      </c>
      <c r="K836">
        <v>97.44</v>
      </c>
    </row>
    <row r="837" spans="1:11" x14ac:dyDescent="0.3">
      <c r="A837">
        <v>2026</v>
      </c>
      <c r="B837">
        <v>1</v>
      </c>
      <c r="C837" t="s">
        <v>291</v>
      </c>
      <c r="D837" t="s">
        <v>292</v>
      </c>
      <c r="E837" t="str">
        <f>TEXT(11933822000141,"00000000000000")</f>
        <v>11933822000141</v>
      </c>
      <c r="F837" t="s">
        <v>553</v>
      </c>
      <c r="G837" t="s">
        <v>173</v>
      </c>
      <c r="H837">
        <v>153074</v>
      </c>
      <c r="I837" t="s">
        <v>297</v>
      </c>
      <c r="J837">
        <v>10</v>
      </c>
      <c r="K837">
        <v>18.100000000000001</v>
      </c>
    </row>
    <row r="838" spans="1:11" x14ac:dyDescent="0.3">
      <c r="A838">
        <v>2026</v>
      </c>
      <c r="B838">
        <v>1</v>
      </c>
      <c r="C838" t="s">
        <v>291</v>
      </c>
      <c r="D838" t="s">
        <v>292</v>
      </c>
      <c r="E838" t="str">
        <f>TEXT(11933822000141,"00000000000000")</f>
        <v>11933822000141</v>
      </c>
      <c r="F838" t="s">
        <v>553</v>
      </c>
      <c r="G838" t="s">
        <v>204</v>
      </c>
      <c r="H838">
        <v>90093291</v>
      </c>
      <c r="I838" t="s">
        <v>565</v>
      </c>
      <c r="J838">
        <v>1</v>
      </c>
      <c r="K838">
        <v>290.22000000000003</v>
      </c>
    </row>
    <row r="839" spans="1:11" x14ac:dyDescent="0.3">
      <c r="A839">
        <v>2026</v>
      </c>
      <c r="B839">
        <v>1</v>
      </c>
      <c r="C839" t="s">
        <v>291</v>
      </c>
      <c r="D839" t="s">
        <v>292</v>
      </c>
      <c r="E839" t="str">
        <f>TEXT(11933822000141,"00000000000000")</f>
        <v>11933822000141</v>
      </c>
      <c r="F839" t="s">
        <v>553</v>
      </c>
      <c r="G839" t="s">
        <v>204</v>
      </c>
      <c r="H839">
        <v>90093615</v>
      </c>
      <c r="I839" t="s">
        <v>566</v>
      </c>
      <c r="J839">
        <v>14</v>
      </c>
      <c r="K839">
        <v>1194.48</v>
      </c>
    </row>
    <row r="840" spans="1:11" x14ac:dyDescent="0.3">
      <c r="A840">
        <v>2026</v>
      </c>
      <c r="B840">
        <v>1</v>
      </c>
      <c r="C840" t="s">
        <v>291</v>
      </c>
      <c r="D840" t="s">
        <v>292</v>
      </c>
      <c r="E840" t="str">
        <f>TEXT(11933822000141,"00000000000000")</f>
        <v>11933822000141</v>
      </c>
      <c r="F840" t="s">
        <v>553</v>
      </c>
      <c r="G840" t="s">
        <v>204</v>
      </c>
      <c r="H840">
        <v>90246942</v>
      </c>
      <c r="I840" t="s">
        <v>567</v>
      </c>
      <c r="J840">
        <v>2</v>
      </c>
      <c r="K840">
        <v>431.8</v>
      </c>
    </row>
    <row r="841" spans="1:11" x14ac:dyDescent="0.3">
      <c r="A841">
        <v>2026</v>
      </c>
      <c r="B841">
        <v>1</v>
      </c>
      <c r="C841" t="s">
        <v>291</v>
      </c>
      <c r="D841" t="s">
        <v>292</v>
      </c>
      <c r="E841" t="str">
        <f>TEXT(13454543000120,"00000000000000")</f>
        <v>13454543000120</v>
      </c>
      <c r="F841" t="s">
        <v>568</v>
      </c>
      <c r="G841" t="s">
        <v>14</v>
      </c>
      <c r="H841">
        <v>25020153</v>
      </c>
      <c r="I841" t="s">
        <v>569</v>
      </c>
      <c r="J841">
        <v>16</v>
      </c>
      <c r="K841">
        <v>540</v>
      </c>
    </row>
    <row r="842" spans="1:11" x14ac:dyDescent="0.3">
      <c r="A842">
        <v>2026</v>
      </c>
      <c r="B842">
        <v>1</v>
      </c>
      <c r="C842" t="s">
        <v>291</v>
      </c>
      <c r="D842" t="s">
        <v>292</v>
      </c>
      <c r="E842" t="str">
        <f>TEXT(13454543000120,"00000000000000")</f>
        <v>13454543000120</v>
      </c>
      <c r="F842" t="s">
        <v>568</v>
      </c>
      <c r="G842" t="s">
        <v>14</v>
      </c>
      <c r="H842">
        <v>25060205</v>
      </c>
      <c r="I842" t="s">
        <v>570</v>
      </c>
      <c r="J842">
        <v>96</v>
      </c>
      <c r="K842">
        <v>2376</v>
      </c>
    </row>
    <row r="843" spans="1:11" x14ac:dyDescent="0.3">
      <c r="A843">
        <v>2026</v>
      </c>
      <c r="B843">
        <v>1</v>
      </c>
      <c r="C843" t="s">
        <v>291</v>
      </c>
      <c r="D843" t="s">
        <v>292</v>
      </c>
      <c r="E843" t="str">
        <f>TEXT(13454543000120,"00000000000000")</f>
        <v>13454543000120</v>
      </c>
      <c r="F843" t="s">
        <v>568</v>
      </c>
      <c r="G843" t="s">
        <v>14</v>
      </c>
      <c r="H843">
        <v>61020028</v>
      </c>
      <c r="I843" t="s">
        <v>571</v>
      </c>
      <c r="J843">
        <v>352</v>
      </c>
      <c r="K843">
        <v>10200</v>
      </c>
    </row>
    <row r="844" spans="1:11" x14ac:dyDescent="0.3">
      <c r="A844">
        <v>2026</v>
      </c>
      <c r="B844">
        <v>1</v>
      </c>
      <c r="C844" t="s">
        <v>291</v>
      </c>
      <c r="D844" t="s">
        <v>292</v>
      </c>
      <c r="E844" t="str">
        <f>TEXT(13454543000120,"00000000000000")</f>
        <v>13454543000120</v>
      </c>
      <c r="F844" t="s">
        <v>568</v>
      </c>
      <c r="G844" t="s">
        <v>14</v>
      </c>
      <c r="H844">
        <v>62020080</v>
      </c>
      <c r="I844" t="s">
        <v>572</v>
      </c>
      <c r="J844">
        <v>400</v>
      </c>
      <c r="K844">
        <v>9900</v>
      </c>
    </row>
    <row r="845" spans="1:11" x14ac:dyDescent="0.3">
      <c r="A845">
        <v>2026</v>
      </c>
      <c r="B845">
        <v>1</v>
      </c>
      <c r="C845" t="s">
        <v>291</v>
      </c>
      <c r="D845" t="s">
        <v>292</v>
      </c>
      <c r="E845" t="str">
        <f>TEXT(13454543000120,"00000000000000")</f>
        <v>13454543000120</v>
      </c>
      <c r="F845" t="s">
        <v>568</v>
      </c>
      <c r="G845" t="s">
        <v>14</v>
      </c>
      <c r="H845">
        <v>62020170</v>
      </c>
      <c r="I845" t="s">
        <v>573</v>
      </c>
      <c r="J845">
        <v>392</v>
      </c>
      <c r="K845">
        <v>11484</v>
      </c>
    </row>
    <row r="846" spans="1:11" x14ac:dyDescent="0.3">
      <c r="A846">
        <v>2026</v>
      </c>
      <c r="B846">
        <v>1</v>
      </c>
      <c r="C846" t="s">
        <v>291</v>
      </c>
      <c r="D846" t="s">
        <v>292</v>
      </c>
      <c r="E846" t="str">
        <f>TEXT(13454543000120,"00000000000000")</f>
        <v>13454543000120</v>
      </c>
      <c r="F846" t="s">
        <v>568</v>
      </c>
      <c r="G846" t="s">
        <v>14</v>
      </c>
      <c r="H846">
        <v>62020188</v>
      </c>
      <c r="I846" t="s">
        <v>574</v>
      </c>
      <c r="J846">
        <v>344</v>
      </c>
      <c r="K846">
        <v>8856</v>
      </c>
    </row>
    <row r="847" spans="1:11" x14ac:dyDescent="0.3">
      <c r="A847">
        <v>2026</v>
      </c>
      <c r="B847">
        <v>1</v>
      </c>
      <c r="C847" t="s">
        <v>291</v>
      </c>
      <c r="D847" t="s">
        <v>292</v>
      </c>
      <c r="E847" t="str">
        <f>TEXT(13454543000120,"00000000000000")</f>
        <v>13454543000120</v>
      </c>
      <c r="F847" t="s">
        <v>568</v>
      </c>
      <c r="G847" t="s">
        <v>14</v>
      </c>
      <c r="H847">
        <v>62030140</v>
      </c>
      <c r="I847" t="s">
        <v>575</v>
      </c>
      <c r="J847">
        <v>3</v>
      </c>
      <c r="K847">
        <v>1075.7</v>
      </c>
    </row>
    <row r="848" spans="1:11" x14ac:dyDescent="0.3">
      <c r="A848">
        <v>2026</v>
      </c>
      <c r="B848">
        <v>1</v>
      </c>
      <c r="C848" t="s">
        <v>291</v>
      </c>
      <c r="D848" t="s">
        <v>292</v>
      </c>
      <c r="E848" t="str">
        <f>TEXT(13454543000120,"00000000000000")</f>
        <v>13454543000120</v>
      </c>
      <c r="F848" t="s">
        <v>568</v>
      </c>
      <c r="G848" t="s">
        <v>14</v>
      </c>
      <c r="H848">
        <v>62030159</v>
      </c>
      <c r="I848" t="s">
        <v>576</v>
      </c>
      <c r="J848">
        <v>44</v>
      </c>
      <c r="K848">
        <v>1749</v>
      </c>
    </row>
    <row r="849" spans="1:11" x14ac:dyDescent="0.3">
      <c r="A849">
        <v>2026</v>
      </c>
      <c r="B849">
        <v>1</v>
      </c>
      <c r="C849" t="s">
        <v>291</v>
      </c>
      <c r="D849" t="s">
        <v>292</v>
      </c>
      <c r="E849" t="str">
        <f>TEXT(22243317000191,"00000000000000")</f>
        <v>22243317000191</v>
      </c>
      <c r="F849" t="s">
        <v>577</v>
      </c>
      <c r="G849" t="s">
        <v>14</v>
      </c>
      <c r="H849">
        <v>99120020</v>
      </c>
      <c r="I849" t="s">
        <v>578</v>
      </c>
      <c r="J849">
        <v>217</v>
      </c>
      <c r="K849">
        <v>37432.5</v>
      </c>
    </row>
    <row r="850" spans="1:11" x14ac:dyDescent="0.3">
      <c r="A850">
        <v>2026</v>
      </c>
      <c r="B850">
        <v>1</v>
      </c>
      <c r="C850" t="s">
        <v>291</v>
      </c>
      <c r="D850" t="s">
        <v>292</v>
      </c>
      <c r="E850" t="str">
        <f>TEXT(24131849000162,"00000000000000")</f>
        <v>24131849000162</v>
      </c>
      <c r="F850" t="s">
        <v>579</v>
      </c>
      <c r="G850" t="s">
        <v>14</v>
      </c>
      <c r="H850">
        <v>10502</v>
      </c>
      <c r="I850" t="s">
        <v>580</v>
      </c>
      <c r="J850">
        <v>9</v>
      </c>
      <c r="K850">
        <v>450</v>
      </c>
    </row>
    <row r="851" spans="1:11" x14ac:dyDescent="0.3">
      <c r="A851">
        <v>2026</v>
      </c>
      <c r="B851">
        <v>1</v>
      </c>
      <c r="C851" t="s">
        <v>291</v>
      </c>
      <c r="D851" t="s">
        <v>292</v>
      </c>
      <c r="E851" t="str">
        <f>TEXT(24131849000162,"00000000000000")</f>
        <v>24131849000162</v>
      </c>
      <c r="F851" t="s">
        <v>579</v>
      </c>
      <c r="G851" t="s">
        <v>14</v>
      </c>
      <c r="H851">
        <v>4001008</v>
      </c>
      <c r="I851" t="s">
        <v>581</v>
      </c>
      <c r="J851">
        <v>6</v>
      </c>
      <c r="K851">
        <v>157.5</v>
      </c>
    </row>
    <row r="852" spans="1:11" x14ac:dyDescent="0.3">
      <c r="A852">
        <v>2026</v>
      </c>
      <c r="B852">
        <v>1</v>
      </c>
      <c r="C852" t="s">
        <v>291</v>
      </c>
      <c r="D852" t="s">
        <v>292</v>
      </c>
      <c r="E852" t="str">
        <f>TEXT(24131849000162,"00000000000000")</f>
        <v>24131849000162</v>
      </c>
      <c r="F852" t="s">
        <v>579</v>
      </c>
      <c r="G852" t="s">
        <v>14</v>
      </c>
      <c r="H852">
        <v>4001047</v>
      </c>
      <c r="I852" t="s">
        <v>582</v>
      </c>
      <c r="J852">
        <v>6</v>
      </c>
      <c r="K852">
        <v>180</v>
      </c>
    </row>
    <row r="853" spans="1:11" x14ac:dyDescent="0.3">
      <c r="A853">
        <v>2026</v>
      </c>
      <c r="B853">
        <v>1</v>
      </c>
      <c r="C853" t="s">
        <v>291</v>
      </c>
      <c r="D853" t="s">
        <v>292</v>
      </c>
      <c r="E853" t="str">
        <f>TEXT(24131849000162,"00000000000000")</f>
        <v>24131849000162</v>
      </c>
      <c r="F853" t="s">
        <v>579</v>
      </c>
      <c r="G853" t="s">
        <v>14</v>
      </c>
      <c r="H853">
        <v>4001049</v>
      </c>
      <c r="I853" t="s">
        <v>583</v>
      </c>
      <c r="J853">
        <v>9</v>
      </c>
      <c r="K853">
        <v>225</v>
      </c>
    </row>
    <row r="854" spans="1:11" x14ac:dyDescent="0.3">
      <c r="A854">
        <v>2026</v>
      </c>
      <c r="B854">
        <v>1</v>
      </c>
      <c r="C854" t="s">
        <v>291</v>
      </c>
      <c r="D854" t="s">
        <v>292</v>
      </c>
      <c r="E854" t="str">
        <f>TEXT(24131849000162,"00000000000000")</f>
        <v>24131849000162</v>
      </c>
      <c r="F854" t="s">
        <v>579</v>
      </c>
      <c r="G854" t="s">
        <v>14</v>
      </c>
      <c r="H854">
        <v>50010050</v>
      </c>
      <c r="I854" t="s">
        <v>584</v>
      </c>
      <c r="J854">
        <v>1</v>
      </c>
      <c r="K854">
        <v>9.1300000000000008</v>
      </c>
    </row>
    <row r="855" spans="1:11" x14ac:dyDescent="0.3">
      <c r="A855">
        <v>2026</v>
      </c>
      <c r="B855">
        <v>1</v>
      </c>
      <c r="C855" t="s">
        <v>291</v>
      </c>
      <c r="D855" t="s">
        <v>292</v>
      </c>
      <c r="E855" t="str">
        <f>TEXT(24131849000162,"00000000000000")</f>
        <v>24131849000162</v>
      </c>
      <c r="F855" t="s">
        <v>579</v>
      </c>
      <c r="G855" t="s">
        <v>14</v>
      </c>
      <c r="H855">
        <v>50010093</v>
      </c>
      <c r="I855" t="s">
        <v>585</v>
      </c>
      <c r="J855">
        <v>4</v>
      </c>
      <c r="K855">
        <v>74.08</v>
      </c>
    </row>
    <row r="856" spans="1:11" x14ac:dyDescent="0.3">
      <c r="A856">
        <v>2026</v>
      </c>
      <c r="B856">
        <v>1</v>
      </c>
      <c r="C856" t="s">
        <v>291</v>
      </c>
      <c r="D856" t="s">
        <v>292</v>
      </c>
      <c r="E856" t="str">
        <f>TEXT(24131849000162,"00000000000000")</f>
        <v>24131849000162</v>
      </c>
      <c r="F856" t="s">
        <v>579</v>
      </c>
      <c r="G856" t="s">
        <v>14</v>
      </c>
      <c r="H856">
        <v>50010123</v>
      </c>
      <c r="I856" t="s">
        <v>586</v>
      </c>
      <c r="J856">
        <v>5</v>
      </c>
      <c r="K856">
        <v>308.3</v>
      </c>
    </row>
    <row r="857" spans="1:11" x14ac:dyDescent="0.3">
      <c r="A857">
        <v>2026</v>
      </c>
      <c r="B857">
        <v>1</v>
      </c>
      <c r="C857" t="s">
        <v>291</v>
      </c>
      <c r="D857" t="s">
        <v>292</v>
      </c>
      <c r="E857" t="str">
        <f>TEXT(24131849000162,"00000000000000")</f>
        <v>24131849000162</v>
      </c>
      <c r="F857" t="s">
        <v>579</v>
      </c>
      <c r="G857" t="s">
        <v>14</v>
      </c>
      <c r="H857">
        <v>50010131</v>
      </c>
      <c r="I857" t="s">
        <v>587</v>
      </c>
      <c r="J857">
        <v>6</v>
      </c>
      <c r="K857">
        <v>322.08</v>
      </c>
    </row>
    <row r="858" spans="1:11" x14ac:dyDescent="0.3">
      <c r="A858">
        <v>2026</v>
      </c>
      <c r="B858">
        <v>1</v>
      </c>
      <c r="C858" t="s">
        <v>291</v>
      </c>
      <c r="D858" t="s">
        <v>292</v>
      </c>
      <c r="E858" t="str">
        <f>TEXT(24131849000162,"00000000000000")</f>
        <v>24131849000162</v>
      </c>
      <c r="F858" t="s">
        <v>579</v>
      </c>
      <c r="G858" t="s">
        <v>14</v>
      </c>
      <c r="H858">
        <v>50010158</v>
      </c>
      <c r="I858" t="s">
        <v>588</v>
      </c>
      <c r="J858">
        <v>1</v>
      </c>
      <c r="K858">
        <v>6.71</v>
      </c>
    </row>
    <row r="859" spans="1:11" x14ac:dyDescent="0.3">
      <c r="A859">
        <v>2026</v>
      </c>
      <c r="B859">
        <v>1</v>
      </c>
      <c r="C859" t="s">
        <v>291</v>
      </c>
      <c r="D859" t="s">
        <v>292</v>
      </c>
      <c r="E859" t="str">
        <f>TEXT(24131849000162,"00000000000000")</f>
        <v>24131849000162</v>
      </c>
      <c r="F859" t="s">
        <v>579</v>
      </c>
      <c r="G859" t="s">
        <v>14</v>
      </c>
      <c r="H859">
        <v>50010190</v>
      </c>
      <c r="I859" t="s">
        <v>589</v>
      </c>
      <c r="J859">
        <v>28</v>
      </c>
      <c r="K859">
        <v>1292.48</v>
      </c>
    </row>
    <row r="860" spans="1:11" x14ac:dyDescent="0.3">
      <c r="A860">
        <v>2026</v>
      </c>
      <c r="B860">
        <v>1</v>
      </c>
      <c r="C860" t="s">
        <v>291</v>
      </c>
      <c r="D860" t="s">
        <v>292</v>
      </c>
      <c r="E860" t="str">
        <f>TEXT(24131849000162,"00000000000000")</f>
        <v>24131849000162</v>
      </c>
      <c r="F860" t="s">
        <v>579</v>
      </c>
      <c r="G860" t="s">
        <v>14</v>
      </c>
      <c r="H860">
        <v>50010204</v>
      </c>
      <c r="I860" t="s">
        <v>590</v>
      </c>
      <c r="J860">
        <v>14</v>
      </c>
      <c r="K860">
        <v>563.64</v>
      </c>
    </row>
    <row r="861" spans="1:11" x14ac:dyDescent="0.3">
      <c r="A861">
        <v>2026</v>
      </c>
      <c r="B861">
        <v>1</v>
      </c>
      <c r="C861" t="s">
        <v>291</v>
      </c>
      <c r="D861" t="s">
        <v>292</v>
      </c>
      <c r="E861" t="str">
        <f>TEXT(24131849000162,"00000000000000")</f>
        <v>24131849000162</v>
      </c>
      <c r="F861" t="s">
        <v>579</v>
      </c>
      <c r="G861" t="s">
        <v>14</v>
      </c>
      <c r="H861">
        <v>50010212</v>
      </c>
      <c r="I861" t="s">
        <v>591</v>
      </c>
      <c r="J861">
        <v>28</v>
      </c>
      <c r="K861">
        <v>2630.32</v>
      </c>
    </row>
    <row r="862" spans="1:11" x14ac:dyDescent="0.3">
      <c r="A862">
        <v>2026</v>
      </c>
      <c r="B862">
        <v>1</v>
      </c>
      <c r="C862" t="s">
        <v>291</v>
      </c>
      <c r="D862" t="s">
        <v>292</v>
      </c>
      <c r="E862" t="str">
        <f>TEXT(24131849000162,"00000000000000")</f>
        <v>24131849000162</v>
      </c>
      <c r="F862" t="s">
        <v>579</v>
      </c>
      <c r="G862" t="s">
        <v>14</v>
      </c>
      <c r="H862">
        <v>50010220</v>
      </c>
      <c r="I862" t="s">
        <v>592</v>
      </c>
      <c r="J862">
        <v>18</v>
      </c>
      <c r="K862">
        <v>623.16</v>
      </c>
    </row>
    <row r="863" spans="1:11" x14ac:dyDescent="0.3">
      <c r="A863">
        <v>2026</v>
      </c>
      <c r="B863">
        <v>1</v>
      </c>
      <c r="C863" t="s">
        <v>291</v>
      </c>
      <c r="D863" t="s">
        <v>292</v>
      </c>
      <c r="E863" t="str">
        <f>TEXT(24131849000162,"00000000000000")</f>
        <v>24131849000162</v>
      </c>
      <c r="F863" t="s">
        <v>579</v>
      </c>
      <c r="G863" t="s">
        <v>14</v>
      </c>
      <c r="H863">
        <v>50010239</v>
      </c>
      <c r="I863" t="s">
        <v>593</v>
      </c>
      <c r="J863">
        <v>4</v>
      </c>
      <c r="K863">
        <v>74.08</v>
      </c>
    </row>
    <row r="864" spans="1:11" x14ac:dyDescent="0.3">
      <c r="A864">
        <v>2026</v>
      </c>
      <c r="B864">
        <v>1</v>
      </c>
      <c r="C864" t="s">
        <v>291</v>
      </c>
      <c r="D864" t="s">
        <v>292</v>
      </c>
      <c r="E864" t="str">
        <f>TEXT(24131849000162,"00000000000000")</f>
        <v>24131849000162</v>
      </c>
      <c r="F864" t="s">
        <v>579</v>
      </c>
      <c r="G864" t="s">
        <v>14</v>
      </c>
      <c r="H864">
        <v>50010247</v>
      </c>
      <c r="I864" t="s">
        <v>594</v>
      </c>
      <c r="J864">
        <v>4</v>
      </c>
      <c r="K864">
        <v>53.68</v>
      </c>
    </row>
    <row r="865" spans="1:11" x14ac:dyDescent="0.3">
      <c r="A865">
        <v>2026</v>
      </c>
      <c r="B865">
        <v>1</v>
      </c>
      <c r="C865" t="s">
        <v>291</v>
      </c>
      <c r="D865" t="s">
        <v>292</v>
      </c>
      <c r="E865" t="str">
        <f>TEXT(24131849000162,"00000000000000")</f>
        <v>24131849000162</v>
      </c>
      <c r="F865" t="s">
        <v>579</v>
      </c>
      <c r="G865" t="s">
        <v>14</v>
      </c>
      <c r="H865">
        <v>50010328</v>
      </c>
      <c r="I865" t="s">
        <v>595</v>
      </c>
      <c r="J865">
        <v>12</v>
      </c>
      <c r="K865">
        <v>222.24</v>
      </c>
    </row>
    <row r="866" spans="1:11" x14ac:dyDescent="0.3">
      <c r="A866">
        <v>2026</v>
      </c>
      <c r="B866">
        <v>1</v>
      </c>
      <c r="C866" t="s">
        <v>291</v>
      </c>
      <c r="D866" t="s">
        <v>292</v>
      </c>
      <c r="E866" t="str">
        <f>TEXT(24131849000162,"00000000000000")</f>
        <v>24131849000162</v>
      </c>
      <c r="F866" t="s">
        <v>579</v>
      </c>
      <c r="G866" t="s">
        <v>14</v>
      </c>
      <c r="H866">
        <v>50010336</v>
      </c>
      <c r="I866" t="s">
        <v>596</v>
      </c>
      <c r="J866">
        <v>2</v>
      </c>
      <c r="K866">
        <v>54.48</v>
      </c>
    </row>
    <row r="867" spans="1:11" x14ac:dyDescent="0.3">
      <c r="A867">
        <v>2026</v>
      </c>
      <c r="B867">
        <v>1</v>
      </c>
      <c r="C867" t="s">
        <v>291</v>
      </c>
      <c r="D867" t="s">
        <v>292</v>
      </c>
      <c r="E867" t="str">
        <f>TEXT(24131849000162,"00000000000000")</f>
        <v>24131849000162</v>
      </c>
      <c r="F867" t="s">
        <v>579</v>
      </c>
      <c r="G867" t="s">
        <v>14</v>
      </c>
      <c r="H867">
        <v>50010425</v>
      </c>
      <c r="I867" t="s">
        <v>597</v>
      </c>
      <c r="J867">
        <v>6</v>
      </c>
      <c r="K867">
        <v>254.4</v>
      </c>
    </row>
    <row r="868" spans="1:11" x14ac:dyDescent="0.3">
      <c r="A868">
        <v>2026</v>
      </c>
      <c r="B868">
        <v>1</v>
      </c>
      <c r="C868" t="s">
        <v>291</v>
      </c>
      <c r="D868" t="s">
        <v>292</v>
      </c>
      <c r="E868" t="str">
        <f>TEXT(24131849000162,"00000000000000")</f>
        <v>24131849000162</v>
      </c>
      <c r="F868" t="s">
        <v>579</v>
      </c>
      <c r="G868" t="s">
        <v>14</v>
      </c>
      <c r="H868">
        <v>50010450</v>
      </c>
      <c r="I868" t="s">
        <v>598</v>
      </c>
      <c r="J868">
        <v>2</v>
      </c>
      <c r="K868">
        <v>159.54</v>
      </c>
    </row>
    <row r="869" spans="1:11" x14ac:dyDescent="0.3">
      <c r="A869">
        <v>2026</v>
      </c>
      <c r="B869">
        <v>1</v>
      </c>
      <c r="C869" t="s">
        <v>291</v>
      </c>
      <c r="D869" t="s">
        <v>292</v>
      </c>
      <c r="E869" t="str">
        <f>TEXT(24131849000162,"00000000000000")</f>
        <v>24131849000162</v>
      </c>
      <c r="F869" t="s">
        <v>579</v>
      </c>
      <c r="G869" t="s">
        <v>14</v>
      </c>
      <c r="H869">
        <v>50010476</v>
      </c>
      <c r="I869" t="s">
        <v>599</v>
      </c>
      <c r="J869">
        <v>8</v>
      </c>
      <c r="K869">
        <v>461.68</v>
      </c>
    </row>
    <row r="870" spans="1:11" x14ac:dyDescent="0.3">
      <c r="A870">
        <v>2026</v>
      </c>
      <c r="B870">
        <v>1</v>
      </c>
      <c r="C870" t="s">
        <v>291</v>
      </c>
      <c r="D870" t="s">
        <v>292</v>
      </c>
      <c r="E870" t="str">
        <f>TEXT(24131849000162,"00000000000000")</f>
        <v>24131849000162</v>
      </c>
      <c r="F870" t="s">
        <v>579</v>
      </c>
      <c r="G870" t="s">
        <v>14</v>
      </c>
      <c r="H870">
        <v>99030063</v>
      </c>
      <c r="I870" t="s">
        <v>600</v>
      </c>
      <c r="J870">
        <v>1</v>
      </c>
      <c r="K870">
        <v>254.4</v>
      </c>
    </row>
    <row r="871" spans="1:11" x14ac:dyDescent="0.3">
      <c r="A871">
        <v>2026</v>
      </c>
      <c r="B871">
        <v>1</v>
      </c>
      <c r="C871" t="s">
        <v>291</v>
      </c>
      <c r="D871" t="s">
        <v>292</v>
      </c>
      <c r="E871" t="str">
        <f>TEXT(24131849000162,"00000000000000")</f>
        <v>24131849000162</v>
      </c>
      <c r="F871" t="s">
        <v>579</v>
      </c>
      <c r="G871" t="s">
        <v>14</v>
      </c>
      <c r="H871">
        <v>99030195</v>
      </c>
      <c r="I871" t="s">
        <v>601</v>
      </c>
      <c r="J871">
        <v>10</v>
      </c>
      <c r="K871">
        <v>784.4</v>
      </c>
    </row>
    <row r="872" spans="1:11" x14ac:dyDescent="0.3">
      <c r="A872">
        <v>2026</v>
      </c>
      <c r="B872">
        <v>1</v>
      </c>
      <c r="C872" t="s">
        <v>291</v>
      </c>
      <c r="D872" t="s">
        <v>292</v>
      </c>
      <c r="E872" t="str">
        <f>TEXT(24131849000162,"00000000000000")</f>
        <v>24131849000162</v>
      </c>
      <c r="F872" t="s">
        <v>579</v>
      </c>
      <c r="G872" t="s">
        <v>14</v>
      </c>
      <c r="H872">
        <v>99030209</v>
      </c>
      <c r="I872" t="s">
        <v>602</v>
      </c>
      <c r="J872">
        <v>10</v>
      </c>
      <c r="K872">
        <v>1590</v>
      </c>
    </row>
    <row r="873" spans="1:11" x14ac:dyDescent="0.3">
      <c r="A873">
        <v>2026</v>
      </c>
      <c r="B873">
        <v>1</v>
      </c>
      <c r="C873" t="s">
        <v>291</v>
      </c>
      <c r="D873" t="s">
        <v>292</v>
      </c>
      <c r="E873" t="str">
        <f>TEXT(24131849000162,"00000000000000")</f>
        <v>24131849000162</v>
      </c>
      <c r="F873" t="s">
        <v>579</v>
      </c>
      <c r="G873" t="s">
        <v>14</v>
      </c>
      <c r="H873">
        <v>99030233</v>
      </c>
      <c r="I873" t="s">
        <v>603</v>
      </c>
      <c r="J873">
        <v>8</v>
      </c>
      <c r="K873">
        <v>2544</v>
      </c>
    </row>
    <row r="874" spans="1:11" x14ac:dyDescent="0.3">
      <c r="A874">
        <v>2026</v>
      </c>
      <c r="B874">
        <v>1</v>
      </c>
      <c r="C874" t="s">
        <v>291</v>
      </c>
      <c r="D874" t="s">
        <v>292</v>
      </c>
      <c r="E874" t="str">
        <f>TEXT(24131849000162,"00000000000000")</f>
        <v>24131849000162</v>
      </c>
      <c r="F874" t="s">
        <v>579</v>
      </c>
      <c r="G874" t="s">
        <v>14</v>
      </c>
      <c r="H874">
        <v>99030241</v>
      </c>
      <c r="I874" t="s">
        <v>604</v>
      </c>
      <c r="J874">
        <v>2</v>
      </c>
      <c r="K874">
        <v>636</v>
      </c>
    </row>
    <row r="875" spans="1:11" x14ac:dyDescent="0.3">
      <c r="A875">
        <v>2026</v>
      </c>
      <c r="B875">
        <v>1</v>
      </c>
      <c r="C875" t="s">
        <v>291</v>
      </c>
      <c r="D875" t="s">
        <v>292</v>
      </c>
      <c r="E875" t="str">
        <f>TEXT(24131849000162,"00000000000000")</f>
        <v>24131849000162</v>
      </c>
      <c r="F875" t="s">
        <v>579</v>
      </c>
      <c r="G875" t="s">
        <v>14</v>
      </c>
      <c r="H875">
        <v>99030462</v>
      </c>
      <c r="I875" t="s">
        <v>605</v>
      </c>
      <c r="J875">
        <v>1</v>
      </c>
      <c r="K875">
        <v>280.89999999999998</v>
      </c>
    </row>
    <row r="876" spans="1:11" x14ac:dyDescent="0.3">
      <c r="A876">
        <v>2026</v>
      </c>
      <c r="B876">
        <v>1</v>
      </c>
      <c r="C876" t="s">
        <v>291</v>
      </c>
      <c r="D876" t="s">
        <v>292</v>
      </c>
      <c r="E876" t="str">
        <f>TEXT(24131849000162,"00000000000000")</f>
        <v>24131849000162</v>
      </c>
      <c r="F876" t="s">
        <v>579</v>
      </c>
      <c r="G876" t="s">
        <v>14</v>
      </c>
      <c r="H876">
        <v>99030489</v>
      </c>
      <c r="I876" t="s">
        <v>606</v>
      </c>
      <c r="J876">
        <v>7</v>
      </c>
      <c r="K876">
        <v>11092.9</v>
      </c>
    </row>
    <row r="877" spans="1:11" x14ac:dyDescent="0.3">
      <c r="A877">
        <v>2026</v>
      </c>
      <c r="B877">
        <v>1</v>
      </c>
      <c r="C877" t="s">
        <v>291</v>
      </c>
      <c r="D877" t="s">
        <v>292</v>
      </c>
      <c r="E877" t="str">
        <f>TEXT(24131849000162,"00000000000000")</f>
        <v>24131849000162</v>
      </c>
      <c r="F877" t="s">
        <v>579</v>
      </c>
      <c r="G877" t="s">
        <v>14</v>
      </c>
      <c r="H877">
        <v>99030632</v>
      </c>
      <c r="I877" t="s">
        <v>607</v>
      </c>
      <c r="J877">
        <v>3</v>
      </c>
      <c r="K877">
        <v>252.46</v>
      </c>
    </row>
    <row r="878" spans="1:11" x14ac:dyDescent="0.3">
      <c r="A878">
        <v>2026</v>
      </c>
      <c r="B878">
        <v>1</v>
      </c>
      <c r="C878" t="s">
        <v>291</v>
      </c>
      <c r="D878" t="s">
        <v>292</v>
      </c>
      <c r="E878" t="str">
        <f>TEXT(24131849000162,"00000000000000")</f>
        <v>24131849000162</v>
      </c>
      <c r="F878" t="s">
        <v>579</v>
      </c>
      <c r="G878" t="s">
        <v>14</v>
      </c>
      <c r="H878">
        <v>99030705</v>
      </c>
      <c r="I878" t="s">
        <v>608</v>
      </c>
      <c r="J878">
        <v>12</v>
      </c>
      <c r="K878">
        <v>57075.360000000001</v>
      </c>
    </row>
    <row r="879" spans="1:11" x14ac:dyDescent="0.3">
      <c r="A879">
        <v>2026</v>
      </c>
      <c r="B879">
        <v>1</v>
      </c>
      <c r="C879" t="s">
        <v>291</v>
      </c>
      <c r="D879" t="s">
        <v>292</v>
      </c>
      <c r="E879" t="str">
        <f>TEXT(24392243000180,"00000000000000")</f>
        <v>24392243000180</v>
      </c>
      <c r="F879" t="s">
        <v>609</v>
      </c>
      <c r="G879" t="s">
        <v>14</v>
      </c>
      <c r="H879">
        <v>34010017</v>
      </c>
      <c r="I879" t="s">
        <v>157</v>
      </c>
      <c r="J879">
        <v>45</v>
      </c>
      <c r="K879">
        <v>10565.14</v>
      </c>
    </row>
    <row r="880" spans="1:11" x14ac:dyDescent="0.3">
      <c r="A880">
        <v>2026</v>
      </c>
      <c r="B880">
        <v>1</v>
      </c>
      <c r="C880" t="s">
        <v>291</v>
      </c>
      <c r="D880" t="s">
        <v>292</v>
      </c>
      <c r="E880" t="str">
        <f>TEXT(24392243000180,"00000000000000")</f>
        <v>24392243000180</v>
      </c>
      <c r="F880" t="s">
        <v>609</v>
      </c>
      <c r="G880" t="s">
        <v>14</v>
      </c>
      <c r="H880">
        <v>34010025</v>
      </c>
      <c r="I880" t="s">
        <v>158</v>
      </c>
      <c r="J880">
        <v>1</v>
      </c>
      <c r="K880">
        <v>269.52</v>
      </c>
    </row>
    <row r="881" spans="1:11" x14ac:dyDescent="0.3">
      <c r="A881">
        <v>2026</v>
      </c>
      <c r="B881">
        <v>1</v>
      </c>
      <c r="C881" t="s">
        <v>291</v>
      </c>
      <c r="D881" t="s">
        <v>292</v>
      </c>
      <c r="E881" t="str">
        <f>TEXT(24392243000180,"00000000000000")</f>
        <v>24392243000180</v>
      </c>
      <c r="F881" t="s">
        <v>609</v>
      </c>
      <c r="G881" t="s">
        <v>14</v>
      </c>
      <c r="H881">
        <v>34010033</v>
      </c>
      <c r="I881" t="s">
        <v>159</v>
      </c>
      <c r="J881">
        <v>4</v>
      </c>
      <c r="K881">
        <v>550.76</v>
      </c>
    </row>
    <row r="882" spans="1:11" x14ac:dyDescent="0.3">
      <c r="A882">
        <v>2026</v>
      </c>
      <c r="B882">
        <v>1</v>
      </c>
      <c r="C882" t="s">
        <v>291</v>
      </c>
      <c r="D882" t="s">
        <v>292</v>
      </c>
      <c r="E882" t="str">
        <f>TEXT(24392243000180,"00000000000000")</f>
        <v>24392243000180</v>
      </c>
      <c r="F882" t="s">
        <v>609</v>
      </c>
      <c r="G882" t="s">
        <v>14</v>
      </c>
      <c r="H882">
        <v>34010068</v>
      </c>
      <c r="I882" t="s">
        <v>160</v>
      </c>
      <c r="J882">
        <v>17</v>
      </c>
      <c r="K882">
        <v>3414.81</v>
      </c>
    </row>
    <row r="883" spans="1:11" x14ac:dyDescent="0.3">
      <c r="A883">
        <v>2026</v>
      </c>
      <c r="B883">
        <v>1</v>
      </c>
      <c r="C883" t="s">
        <v>291</v>
      </c>
      <c r="D883" t="s">
        <v>292</v>
      </c>
      <c r="E883" t="str">
        <f>TEXT(24392243000180,"00000000000000")</f>
        <v>24392243000180</v>
      </c>
      <c r="F883" t="s">
        <v>609</v>
      </c>
      <c r="G883" t="s">
        <v>14</v>
      </c>
      <c r="H883">
        <v>34010084</v>
      </c>
      <c r="I883" t="s">
        <v>306</v>
      </c>
      <c r="J883">
        <v>1</v>
      </c>
      <c r="K883">
        <v>220.31</v>
      </c>
    </row>
    <row r="884" spans="1:11" x14ac:dyDescent="0.3">
      <c r="A884">
        <v>2026</v>
      </c>
      <c r="B884">
        <v>1</v>
      </c>
      <c r="C884" t="s">
        <v>291</v>
      </c>
      <c r="D884" t="s">
        <v>292</v>
      </c>
      <c r="E884" t="str">
        <f>TEXT(24392243000180,"00000000000000")</f>
        <v>24392243000180</v>
      </c>
      <c r="F884" t="s">
        <v>609</v>
      </c>
      <c r="G884" t="s">
        <v>14</v>
      </c>
      <c r="H884">
        <v>34010106</v>
      </c>
      <c r="I884" t="s">
        <v>161</v>
      </c>
      <c r="J884">
        <v>47</v>
      </c>
      <c r="K884">
        <v>9460.02</v>
      </c>
    </row>
    <row r="885" spans="1:11" x14ac:dyDescent="0.3">
      <c r="A885">
        <v>2026</v>
      </c>
      <c r="B885">
        <v>1</v>
      </c>
      <c r="C885" t="s">
        <v>291</v>
      </c>
      <c r="D885" t="s">
        <v>292</v>
      </c>
      <c r="E885" t="str">
        <f>TEXT(24392243000180,"00000000000000")</f>
        <v>24392243000180</v>
      </c>
      <c r="F885" t="s">
        <v>609</v>
      </c>
      <c r="G885" t="s">
        <v>14</v>
      </c>
      <c r="H885">
        <v>34010114</v>
      </c>
      <c r="I885" t="s">
        <v>610</v>
      </c>
      <c r="J885">
        <v>3</v>
      </c>
      <c r="K885">
        <v>565.98</v>
      </c>
    </row>
    <row r="886" spans="1:11" x14ac:dyDescent="0.3">
      <c r="A886">
        <v>2026</v>
      </c>
      <c r="B886">
        <v>1</v>
      </c>
      <c r="C886" t="s">
        <v>291</v>
      </c>
      <c r="D886" t="s">
        <v>292</v>
      </c>
      <c r="E886" t="str">
        <f>TEXT(24392243000180,"00000000000000")</f>
        <v>24392243000180</v>
      </c>
      <c r="F886" t="s">
        <v>609</v>
      </c>
      <c r="G886" t="s">
        <v>14</v>
      </c>
      <c r="H886">
        <v>34010130</v>
      </c>
      <c r="I886" t="s">
        <v>162</v>
      </c>
      <c r="J886">
        <v>26</v>
      </c>
      <c r="K886">
        <v>6872.76</v>
      </c>
    </row>
    <row r="887" spans="1:11" x14ac:dyDescent="0.3">
      <c r="A887">
        <v>2026</v>
      </c>
      <c r="B887">
        <v>1</v>
      </c>
      <c r="C887" t="s">
        <v>291</v>
      </c>
      <c r="D887" t="s">
        <v>292</v>
      </c>
      <c r="E887" t="str">
        <f>TEXT(24392243000180,"00000000000000")</f>
        <v>24392243000180</v>
      </c>
      <c r="F887" t="s">
        <v>609</v>
      </c>
      <c r="G887" t="s">
        <v>14</v>
      </c>
      <c r="H887">
        <v>36010014</v>
      </c>
      <c r="I887" t="s">
        <v>554</v>
      </c>
      <c r="J887">
        <v>5</v>
      </c>
      <c r="K887">
        <v>2500.69</v>
      </c>
    </row>
    <row r="888" spans="1:11" x14ac:dyDescent="0.3">
      <c r="A888">
        <v>2026</v>
      </c>
      <c r="B888">
        <v>1</v>
      </c>
      <c r="C888" t="s">
        <v>291</v>
      </c>
      <c r="D888" t="s">
        <v>292</v>
      </c>
      <c r="E888" t="str">
        <f>TEXT(24392243000180,"00000000000000")</f>
        <v>24392243000180</v>
      </c>
      <c r="F888" t="s">
        <v>609</v>
      </c>
      <c r="G888" t="s">
        <v>14</v>
      </c>
      <c r="H888">
        <v>36010030</v>
      </c>
      <c r="I888" t="s">
        <v>556</v>
      </c>
      <c r="J888">
        <v>1</v>
      </c>
      <c r="K888">
        <v>572.78</v>
      </c>
    </row>
    <row r="889" spans="1:11" x14ac:dyDescent="0.3">
      <c r="A889">
        <v>2026</v>
      </c>
      <c r="B889">
        <v>1</v>
      </c>
      <c r="C889" t="s">
        <v>291</v>
      </c>
      <c r="D889" t="s">
        <v>292</v>
      </c>
      <c r="E889" t="str">
        <f>TEXT(24392243000180,"00000000000000")</f>
        <v>24392243000180</v>
      </c>
      <c r="F889" t="s">
        <v>609</v>
      </c>
      <c r="G889" t="s">
        <v>14</v>
      </c>
      <c r="H889">
        <v>36010049</v>
      </c>
      <c r="I889" t="s">
        <v>557</v>
      </c>
      <c r="J889">
        <v>8</v>
      </c>
      <c r="K889">
        <v>4405.67</v>
      </c>
    </row>
    <row r="890" spans="1:11" x14ac:dyDescent="0.3">
      <c r="A890">
        <v>2026</v>
      </c>
      <c r="B890">
        <v>1</v>
      </c>
      <c r="C890" t="s">
        <v>291</v>
      </c>
      <c r="D890" t="s">
        <v>292</v>
      </c>
      <c r="E890" t="str">
        <f>TEXT(24392243000180,"00000000000000")</f>
        <v>24392243000180</v>
      </c>
      <c r="F890" t="s">
        <v>609</v>
      </c>
      <c r="G890" t="s">
        <v>14</v>
      </c>
      <c r="H890">
        <v>36010090</v>
      </c>
      <c r="I890" t="s">
        <v>558</v>
      </c>
      <c r="J890">
        <v>7</v>
      </c>
      <c r="K890">
        <v>3780.34</v>
      </c>
    </row>
    <row r="891" spans="1:11" x14ac:dyDescent="0.3">
      <c r="A891">
        <v>2026</v>
      </c>
      <c r="B891">
        <v>1</v>
      </c>
      <c r="C891" t="s">
        <v>291</v>
      </c>
      <c r="D891" t="s">
        <v>292</v>
      </c>
      <c r="E891" t="str">
        <f>TEXT(24392243000180,"00000000000000")</f>
        <v>24392243000180</v>
      </c>
      <c r="F891" t="s">
        <v>609</v>
      </c>
      <c r="G891" t="s">
        <v>14</v>
      </c>
      <c r="H891">
        <v>36010103</v>
      </c>
      <c r="I891" t="s">
        <v>559</v>
      </c>
      <c r="J891">
        <v>5</v>
      </c>
      <c r="K891">
        <v>2749.34</v>
      </c>
    </row>
    <row r="892" spans="1:11" x14ac:dyDescent="0.3">
      <c r="A892">
        <v>2026</v>
      </c>
      <c r="B892">
        <v>1</v>
      </c>
      <c r="C892" t="s">
        <v>291</v>
      </c>
      <c r="D892" t="s">
        <v>292</v>
      </c>
      <c r="E892" t="str">
        <f>TEXT(24392243000180,"00000000000000")</f>
        <v>24392243000180</v>
      </c>
      <c r="F892" t="s">
        <v>609</v>
      </c>
      <c r="G892" t="s">
        <v>14</v>
      </c>
      <c r="H892">
        <v>36010111</v>
      </c>
      <c r="I892" t="s">
        <v>611</v>
      </c>
      <c r="J892">
        <v>1</v>
      </c>
      <c r="K892">
        <v>564.83000000000004</v>
      </c>
    </row>
    <row r="893" spans="1:11" x14ac:dyDescent="0.3">
      <c r="A893">
        <v>2026</v>
      </c>
      <c r="B893">
        <v>1</v>
      </c>
      <c r="C893" t="s">
        <v>291</v>
      </c>
      <c r="D893" t="s">
        <v>292</v>
      </c>
      <c r="E893" t="str">
        <f>TEXT(24392243000180,"00000000000000")</f>
        <v>24392243000180</v>
      </c>
      <c r="F893" t="s">
        <v>609</v>
      </c>
      <c r="G893" t="s">
        <v>14</v>
      </c>
      <c r="H893">
        <v>36010120</v>
      </c>
      <c r="I893" t="s">
        <v>560</v>
      </c>
      <c r="J893">
        <v>1</v>
      </c>
      <c r="K893">
        <v>564.83000000000004</v>
      </c>
    </row>
    <row r="894" spans="1:11" x14ac:dyDescent="0.3">
      <c r="A894">
        <v>2026</v>
      </c>
      <c r="B894">
        <v>1</v>
      </c>
      <c r="C894" t="s">
        <v>291</v>
      </c>
      <c r="D894" t="s">
        <v>292</v>
      </c>
      <c r="E894" t="str">
        <f>TEXT(24392243000180,"00000000000000")</f>
        <v>24392243000180</v>
      </c>
      <c r="F894" t="s">
        <v>609</v>
      </c>
      <c r="G894" t="s">
        <v>14</v>
      </c>
      <c r="H894">
        <v>36010162</v>
      </c>
      <c r="I894" t="s">
        <v>563</v>
      </c>
      <c r="J894">
        <v>2</v>
      </c>
      <c r="K894">
        <v>1129.6600000000001</v>
      </c>
    </row>
    <row r="895" spans="1:11" x14ac:dyDescent="0.3">
      <c r="A895">
        <v>2026</v>
      </c>
      <c r="B895">
        <v>1</v>
      </c>
      <c r="C895" t="s">
        <v>291</v>
      </c>
      <c r="D895" t="s">
        <v>292</v>
      </c>
      <c r="E895" t="str">
        <f>TEXT(24392243000180,"00000000000000")</f>
        <v>24392243000180</v>
      </c>
      <c r="F895" t="s">
        <v>609</v>
      </c>
      <c r="G895" t="s">
        <v>14</v>
      </c>
      <c r="H895">
        <v>36010170</v>
      </c>
      <c r="I895" t="s">
        <v>564</v>
      </c>
      <c r="J895">
        <v>2</v>
      </c>
      <c r="K895">
        <v>1129.6600000000001</v>
      </c>
    </row>
    <row r="896" spans="1:11" x14ac:dyDescent="0.3">
      <c r="A896">
        <v>2026</v>
      </c>
      <c r="B896">
        <v>1</v>
      </c>
      <c r="C896" t="s">
        <v>291</v>
      </c>
      <c r="D896" t="s">
        <v>292</v>
      </c>
      <c r="E896" t="str">
        <f>TEXT(24392243000180,"00000000000000")</f>
        <v>24392243000180</v>
      </c>
      <c r="F896" t="s">
        <v>609</v>
      </c>
      <c r="G896" t="s">
        <v>14</v>
      </c>
      <c r="H896">
        <v>36010189</v>
      </c>
      <c r="I896" t="s">
        <v>612</v>
      </c>
      <c r="J896">
        <v>1</v>
      </c>
      <c r="K896">
        <v>556.88</v>
      </c>
    </row>
    <row r="897" spans="1:11" x14ac:dyDescent="0.3">
      <c r="A897">
        <v>2026</v>
      </c>
      <c r="B897">
        <v>1</v>
      </c>
      <c r="C897" t="s">
        <v>291</v>
      </c>
      <c r="D897" t="s">
        <v>292</v>
      </c>
      <c r="E897" t="str">
        <f>TEXT(24392243000180,"00000000000000")</f>
        <v>24392243000180</v>
      </c>
      <c r="F897" t="s">
        <v>609</v>
      </c>
      <c r="G897" t="s">
        <v>14</v>
      </c>
      <c r="H897">
        <v>36010200</v>
      </c>
      <c r="I897" t="s">
        <v>613</v>
      </c>
      <c r="J897">
        <v>3</v>
      </c>
      <c r="K897">
        <v>254.4</v>
      </c>
    </row>
    <row r="898" spans="1:11" x14ac:dyDescent="0.3">
      <c r="A898">
        <v>2026</v>
      </c>
      <c r="B898">
        <v>1</v>
      </c>
      <c r="C898" t="s">
        <v>291</v>
      </c>
      <c r="D898" t="s">
        <v>292</v>
      </c>
      <c r="E898" t="str">
        <f>TEXT(24392243000180,"00000000000000")</f>
        <v>24392243000180</v>
      </c>
      <c r="F898" t="s">
        <v>609</v>
      </c>
      <c r="G898" t="s">
        <v>14</v>
      </c>
      <c r="H898">
        <v>80020003</v>
      </c>
      <c r="I898" t="s">
        <v>614</v>
      </c>
      <c r="J898">
        <v>75</v>
      </c>
      <c r="K898">
        <v>24.75</v>
      </c>
    </row>
    <row r="899" spans="1:11" x14ac:dyDescent="0.3">
      <c r="A899">
        <v>2026</v>
      </c>
      <c r="B899">
        <v>1</v>
      </c>
      <c r="C899" t="s">
        <v>291</v>
      </c>
      <c r="D899" t="s">
        <v>292</v>
      </c>
      <c r="E899" t="str">
        <f>TEXT(24392243000180,"00000000000000")</f>
        <v>24392243000180</v>
      </c>
      <c r="F899" t="s">
        <v>609</v>
      </c>
      <c r="G899" t="s">
        <v>14</v>
      </c>
      <c r="H899">
        <v>80020004</v>
      </c>
      <c r="I899" t="s">
        <v>615</v>
      </c>
      <c r="J899">
        <v>2</v>
      </c>
      <c r="K899">
        <v>30</v>
      </c>
    </row>
    <row r="900" spans="1:11" x14ac:dyDescent="0.3">
      <c r="A900">
        <v>2026</v>
      </c>
      <c r="B900">
        <v>1</v>
      </c>
      <c r="C900" t="s">
        <v>291</v>
      </c>
      <c r="D900" t="s">
        <v>292</v>
      </c>
      <c r="E900" t="str">
        <f>TEXT(24392243000180,"00000000000000")</f>
        <v>24392243000180</v>
      </c>
      <c r="F900" t="s">
        <v>609</v>
      </c>
      <c r="G900" t="s">
        <v>14</v>
      </c>
      <c r="H900">
        <v>80020005</v>
      </c>
      <c r="I900" t="s">
        <v>616</v>
      </c>
      <c r="J900">
        <v>4</v>
      </c>
      <c r="K900">
        <v>40</v>
      </c>
    </row>
    <row r="901" spans="1:11" x14ac:dyDescent="0.3">
      <c r="A901">
        <v>2026</v>
      </c>
      <c r="B901">
        <v>1</v>
      </c>
      <c r="C901" t="s">
        <v>291</v>
      </c>
      <c r="D901" t="s">
        <v>292</v>
      </c>
      <c r="E901" t="str">
        <f>TEXT(24392243000180,"00000000000000")</f>
        <v>24392243000180</v>
      </c>
      <c r="F901" t="s">
        <v>609</v>
      </c>
      <c r="G901" t="s">
        <v>173</v>
      </c>
      <c r="H901">
        <v>19272032</v>
      </c>
      <c r="I901" t="s">
        <v>617</v>
      </c>
      <c r="J901">
        <v>2</v>
      </c>
      <c r="K901">
        <v>3.94</v>
      </c>
    </row>
    <row r="902" spans="1:11" x14ac:dyDescent="0.3">
      <c r="A902">
        <v>2026</v>
      </c>
      <c r="B902">
        <v>1</v>
      </c>
      <c r="C902" t="s">
        <v>291</v>
      </c>
      <c r="D902" t="s">
        <v>292</v>
      </c>
      <c r="E902" t="str">
        <f>TEXT(24392243000180,"00000000000000")</f>
        <v>24392243000180</v>
      </c>
      <c r="F902" t="s">
        <v>609</v>
      </c>
      <c r="G902" t="s">
        <v>173</v>
      </c>
      <c r="H902">
        <v>70014280</v>
      </c>
      <c r="I902" t="s">
        <v>618</v>
      </c>
      <c r="J902">
        <v>6</v>
      </c>
      <c r="K902">
        <v>1.86</v>
      </c>
    </row>
    <row r="903" spans="1:11" x14ac:dyDescent="0.3">
      <c r="A903">
        <v>2026</v>
      </c>
      <c r="B903">
        <v>1</v>
      </c>
      <c r="C903" t="s">
        <v>291</v>
      </c>
      <c r="D903" t="s">
        <v>292</v>
      </c>
      <c r="E903" t="str">
        <f>TEXT(24392243000180,"00000000000000")</f>
        <v>24392243000180</v>
      </c>
      <c r="F903" t="s">
        <v>609</v>
      </c>
      <c r="G903" t="s">
        <v>173</v>
      </c>
      <c r="H903">
        <v>70014370</v>
      </c>
      <c r="I903" t="s">
        <v>619</v>
      </c>
      <c r="J903">
        <v>12</v>
      </c>
      <c r="K903">
        <v>25.44</v>
      </c>
    </row>
    <row r="904" spans="1:11" x14ac:dyDescent="0.3">
      <c r="A904">
        <v>2026</v>
      </c>
      <c r="B904">
        <v>1</v>
      </c>
      <c r="C904" t="s">
        <v>291</v>
      </c>
      <c r="D904" t="s">
        <v>292</v>
      </c>
      <c r="E904" t="str">
        <f>TEXT(24392243000180,"00000000000000")</f>
        <v>24392243000180</v>
      </c>
      <c r="F904" t="s">
        <v>609</v>
      </c>
      <c r="G904" t="s">
        <v>173</v>
      </c>
      <c r="H904">
        <v>70705305</v>
      </c>
      <c r="I904" t="s">
        <v>620</v>
      </c>
      <c r="J904">
        <v>4</v>
      </c>
      <c r="K904">
        <v>7.12</v>
      </c>
    </row>
    <row r="905" spans="1:11" x14ac:dyDescent="0.3">
      <c r="A905">
        <v>2026</v>
      </c>
      <c r="B905">
        <v>1</v>
      </c>
      <c r="C905" t="s">
        <v>291</v>
      </c>
      <c r="D905" t="s">
        <v>292</v>
      </c>
      <c r="E905" t="str">
        <f>TEXT(24392243000180,"00000000000000")</f>
        <v>24392243000180</v>
      </c>
      <c r="F905" t="s">
        <v>609</v>
      </c>
      <c r="G905" t="s">
        <v>173</v>
      </c>
      <c r="H905">
        <v>70705330</v>
      </c>
      <c r="I905" t="s">
        <v>621</v>
      </c>
      <c r="J905">
        <v>27</v>
      </c>
      <c r="K905">
        <v>95.75</v>
      </c>
    </row>
    <row r="906" spans="1:11" x14ac:dyDescent="0.3">
      <c r="A906">
        <v>2026</v>
      </c>
      <c r="B906">
        <v>1</v>
      </c>
      <c r="C906" t="s">
        <v>291</v>
      </c>
      <c r="D906" t="s">
        <v>292</v>
      </c>
      <c r="E906" t="str">
        <f>TEXT(24392243000180,"00000000000000")</f>
        <v>24392243000180</v>
      </c>
      <c r="F906" t="s">
        <v>609</v>
      </c>
      <c r="G906" t="s">
        <v>173</v>
      </c>
      <c r="H906">
        <v>70705356</v>
      </c>
      <c r="I906" t="s">
        <v>622</v>
      </c>
      <c r="J906">
        <v>4</v>
      </c>
      <c r="K906">
        <v>28.28</v>
      </c>
    </row>
    <row r="907" spans="1:11" x14ac:dyDescent="0.3">
      <c r="A907">
        <v>2026</v>
      </c>
      <c r="B907">
        <v>1</v>
      </c>
      <c r="C907" t="s">
        <v>291</v>
      </c>
      <c r="D907" t="s">
        <v>292</v>
      </c>
      <c r="E907" t="str">
        <f>TEXT(24392243000180,"00000000000000")</f>
        <v>24392243000180</v>
      </c>
      <c r="F907" t="s">
        <v>609</v>
      </c>
      <c r="G907" t="s">
        <v>173</v>
      </c>
      <c r="H907">
        <v>70765561</v>
      </c>
      <c r="I907" t="s">
        <v>623</v>
      </c>
      <c r="J907">
        <v>11</v>
      </c>
      <c r="K907">
        <v>348.15</v>
      </c>
    </row>
    <row r="908" spans="1:11" x14ac:dyDescent="0.3">
      <c r="A908">
        <v>2026</v>
      </c>
      <c r="B908">
        <v>1</v>
      </c>
      <c r="C908" t="s">
        <v>291</v>
      </c>
      <c r="D908" t="s">
        <v>292</v>
      </c>
      <c r="E908" t="str">
        <f>TEXT(24392243000180,"00000000000000")</f>
        <v>24392243000180</v>
      </c>
      <c r="F908" t="s">
        <v>609</v>
      </c>
      <c r="G908" t="s">
        <v>173</v>
      </c>
      <c r="H908">
        <v>70799172</v>
      </c>
      <c r="I908" t="s">
        <v>624</v>
      </c>
      <c r="J908">
        <v>200.8</v>
      </c>
      <c r="K908">
        <v>371.44</v>
      </c>
    </row>
    <row r="909" spans="1:11" x14ac:dyDescent="0.3">
      <c r="A909">
        <v>2026</v>
      </c>
      <c r="B909">
        <v>1</v>
      </c>
      <c r="C909" t="s">
        <v>291</v>
      </c>
      <c r="D909" t="s">
        <v>292</v>
      </c>
      <c r="E909" t="str">
        <f>TEXT(24392243000180,"00000000000000")</f>
        <v>24392243000180</v>
      </c>
      <c r="F909" t="s">
        <v>609</v>
      </c>
      <c r="G909" t="s">
        <v>173</v>
      </c>
      <c r="H909">
        <v>71095969</v>
      </c>
      <c r="I909" t="s">
        <v>625</v>
      </c>
      <c r="J909">
        <v>5</v>
      </c>
      <c r="K909">
        <v>0.55000000000000004</v>
      </c>
    </row>
    <row r="910" spans="1:11" x14ac:dyDescent="0.3">
      <c r="A910">
        <v>2026</v>
      </c>
      <c r="B910">
        <v>1</v>
      </c>
      <c r="C910" t="s">
        <v>291</v>
      </c>
      <c r="D910" t="s">
        <v>292</v>
      </c>
      <c r="E910" t="str">
        <f>TEXT(24392243000180,"00000000000000")</f>
        <v>24392243000180</v>
      </c>
      <c r="F910" t="s">
        <v>609</v>
      </c>
      <c r="G910" t="s">
        <v>173</v>
      </c>
      <c r="H910">
        <v>78302447</v>
      </c>
      <c r="I910" t="s">
        <v>626</v>
      </c>
      <c r="J910">
        <v>8</v>
      </c>
      <c r="K910">
        <v>7.04</v>
      </c>
    </row>
    <row r="911" spans="1:11" x14ac:dyDescent="0.3">
      <c r="A911">
        <v>2026</v>
      </c>
      <c r="B911">
        <v>1</v>
      </c>
      <c r="C911" t="s">
        <v>291</v>
      </c>
      <c r="D911" t="s">
        <v>292</v>
      </c>
      <c r="E911" t="str">
        <f>TEXT(24392243000180,"00000000000000")</f>
        <v>24392243000180</v>
      </c>
      <c r="F911" t="s">
        <v>609</v>
      </c>
      <c r="G911" t="s">
        <v>173</v>
      </c>
      <c r="H911">
        <v>78338700</v>
      </c>
      <c r="I911" t="s">
        <v>627</v>
      </c>
      <c r="J911">
        <v>34</v>
      </c>
      <c r="K911">
        <v>448.46</v>
      </c>
    </row>
    <row r="912" spans="1:11" x14ac:dyDescent="0.3">
      <c r="A912">
        <v>2026</v>
      </c>
      <c r="B912">
        <v>1</v>
      </c>
      <c r="C912" t="s">
        <v>291</v>
      </c>
      <c r="D912" t="s">
        <v>292</v>
      </c>
      <c r="E912" t="str">
        <f>TEXT(24392243000180,"00000000000000")</f>
        <v>24392243000180</v>
      </c>
      <c r="F912" t="s">
        <v>609</v>
      </c>
      <c r="G912" t="s">
        <v>204</v>
      </c>
      <c r="H912">
        <v>23381</v>
      </c>
      <c r="I912" t="s">
        <v>628</v>
      </c>
      <c r="J912">
        <v>1</v>
      </c>
      <c r="K912">
        <v>15.05</v>
      </c>
    </row>
    <row r="913" spans="1:11" x14ac:dyDescent="0.3">
      <c r="A913">
        <v>2026</v>
      </c>
      <c r="B913">
        <v>1</v>
      </c>
      <c r="C913" t="s">
        <v>291</v>
      </c>
      <c r="D913" t="s">
        <v>292</v>
      </c>
      <c r="E913" t="str">
        <f>TEXT(24392243000180,"00000000000000")</f>
        <v>24392243000180</v>
      </c>
      <c r="F913" t="s">
        <v>609</v>
      </c>
      <c r="G913" t="s">
        <v>204</v>
      </c>
      <c r="H913">
        <v>46355</v>
      </c>
      <c r="I913" t="s">
        <v>629</v>
      </c>
      <c r="J913">
        <v>11</v>
      </c>
      <c r="K913">
        <v>110</v>
      </c>
    </row>
    <row r="914" spans="1:11" x14ac:dyDescent="0.3">
      <c r="A914">
        <v>2026</v>
      </c>
      <c r="B914">
        <v>1</v>
      </c>
      <c r="C914" t="s">
        <v>291</v>
      </c>
      <c r="D914" t="s">
        <v>292</v>
      </c>
      <c r="E914" t="str">
        <f>TEXT(24392243000180,"00000000000000")</f>
        <v>24392243000180</v>
      </c>
      <c r="F914" t="s">
        <v>609</v>
      </c>
      <c r="G914" t="s">
        <v>204</v>
      </c>
      <c r="H914">
        <v>63049</v>
      </c>
      <c r="I914" t="s">
        <v>630</v>
      </c>
      <c r="J914">
        <v>15</v>
      </c>
      <c r="K914">
        <v>97.2</v>
      </c>
    </row>
    <row r="915" spans="1:11" x14ac:dyDescent="0.3">
      <c r="A915">
        <v>2026</v>
      </c>
      <c r="B915">
        <v>1</v>
      </c>
      <c r="C915" t="s">
        <v>291</v>
      </c>
      <c r="D915" t="s">
        <v>292</v>
      </c>
      <c r="E915" t="str">
        <f>TEXT(24392243000180,"00000000000000")</f>
        <v>24392243000180</v>
      </c>
      <c r="F915" t="s">
        <v>609</v>
      </c>
      <c r="G915" t="s">
        <v>204</v>
      </c>
      <c r="H915">
        <v>90047729</v>
      </c>
      <c r="I915" t="s">
        <v>631</v>
      </c>
      <c r="J915">
        <v>4</v>
      </c>
      <c r="K915">
        <v>25.21</v>
      </c>
    </row>
    <row r="916" spans="1:11" x14ac:dyDescent="0.3">
      <c r="A916">
        <v>2026</v>
      </c>
      <c r="B916">
        <v>1</v>
      </c>
      <c r="C916" t="s">
        <v>291</v>
      </c>
      <c r="D916" t="s">
        <v>292</v>
      </c>
      <c r="E916" t="str">
        <f>TEXT(24392243000180,"00000000000000")</f>
        <v>24392243000180</v>
      </c>
      <c r="F916" t="s">
        <v>609</v>
      </c>
      <c r="G916" t="s">
        <v>204</v>
      </c>
      <c r="H916">
        <v>90093615</v>
      </c>
      <c r="I916" t="s">
        <v>632</v>
      </c>
      <c r="J916">
        <v>33</v>
      </c>
      <c r="K916">
        <v>2326.8000000000002</v>
      </c>
    </row>
    <row r="917" spans="1:11" x14ac:dyDescent="0.3">
      <c r="A917">
        <v>2026</v>
      </c>
      <c r="B917">
        <v>1</v>
      </c>
      <c r="C917" t="s">
        <v>291</v>
      </c>
      <c r="D917" t="s">
        <v>292</v>
      </c>
      <c r="E917" t="str">
        <f>TEXT(24392243000180,"00000000000000")</f>
        <v>24392243000180</v>
      </c>
      <c r="F917" t="s">
        <v>609</v>
      </c>
      <c r="G917" t="s">
        <v>204</v>
      </c>
      <c r="H917">
        <v>90094298</v>
      </c>
      <c r="I917" t="s">
        <v>633</v>
      </c>
      <c r="J917">
        <v>474</v>
      </c>
      <c r="K917">
        <v>9.48</v>
      </c>
    </row>
    <row r="918" spans="1:11" x14ac:dyDescent="0.3">
      <c r="A918">
        <v>2026</v>
      </c>
      <c r="B918">
        <v>1</v>
      </c>
      <c r="C918" t="s">
        <v>291</v>
      </c>
      <c r="D918" t="s">
        <v>292</v>
      </c>
      <c r="E918" t="str">
        <f>TEXT(24392243000180,"00000000000000")</f>
        <v>24392243000180</v>
      </c>
      <c r="F918" t="s">
        <v>609</v>
      </c>
      <c r="G918" t="s">
        <v>204</v>
      </c>
      <c r="H918">
        <v>90123115</v>
      </c>
      <c r="I918" t="s">
        <v>634</v>
      </c>
      <c r="J918">
        <v>1</v>
      </c>
      <c r="K918">
        <v>5.61</v>
      </c>
    </row>
    <row r="919" spans="1:11" x14ac:dyDescent="0.3">
      <c r="A919">
        <v>2026</v>
      </c>
      <c r="B919">
        <v>1</v>
      </c>
      <c r="C919" t="s">
        <v>291</v>
      </c>
      <c r="D919" t="s">
        <v>292</v>
      </c>
      <c r="E919" t="str">
        <f>TEXT(24392243000180,"00000000000000")</f>
        <v>24392243000180</v>
      </c>
      <c r="F919" t="s">
        <v>609</v>
      </c>
      <c r="G919" t="s">
        <v>204</v>
      </c>
      <c r="H919">
        <v>90123123</v>
      </c>
      <c r="I919" t="s">
        <v>635</v>
      </c>
      <c r="J919">
        <v>450</v>
      </c>
      <c r="K919">
        <v>54</v>
      </c>
    </row>
    <row r="920" spans="1:11" x14ac:dyDescent="0.3">
      <c r="A920">
        <v>2026</v>
      </c>
      <c r="B920">
        <v>1</v>
      </c>
      <c r="C920" t="s">
        <v>291</v>
      </c>
      <c r="D920" t="s">
        <v>292</v>
      </c>
      <c r="E920" t="str">
        <f>TEXT(24392243000180,"00000000000000")</f>
        <v>24392243000180</v>
      </c>
      <c r="F920" t="s">
        <v>609</v>
      </c>
      <c r="G920" t="s">
        <v>204</v>
      </c>
      <c r="H920">
        <v>90140958</v>
      </c>
      <c r="I920" t="s">
        <v>636</v>
      </c>
      <c r="J920">
        <v>190</v>
      </c>
      <c r="K920">
        <v>1.9</v>
      </c>
    </row>
    <row r="921" spans="1:11" x14ac:dyDescent="0.3">
      <c r="A921">
        <v>2026</v>
      </c>
      <c r="B921">
        <v>1</v>
      </c>
      <c r="C921" t="s">
        <v>291</v>
      </c>
      <c r="D921" t="s">
        <v>292</v>
      </c>
      <c r="E921" t="str">
        <f>TEXT(24392243000180,"00000000000000")</f>
        <v>24392243000180</v>
      </c>
      <c r="F921" t="s">
        <v>609</v>
      </c>
      <c r="G921" t="s">
        <v>204</v>
      </c>
      <c r="H921">
        <v>90209117</v>
      </c>
      <c r="I921" t="s">
        <v>637</v>
      </c>
      <c r="J921">
        <v>2</v>
      </c>
      <c r="K921">
        <v>17.96</v>
      </c>
    </row>
    <row r="922" spans="1:11" x14ac:dyDescent="0.3">
      <c r="A922">
        <v>2026</v>
      </c>
      <c r="B922">
        <v>1</v>
      </c>
      <c r="C922" t="s">
        <v>291</v>
      </c>
      <c r="D922" t="s">
        <v>292</v>
      </c>
      <c r="E922" t="str">
        <f>TEXT(24392243000180,"00000000000000")</f>
        <v>24392243000180</v>
      </c>
      <c r="F922" t="s">
        <v>609</v>
      </c>
      <c r="G922" t="s">
        <v>204</v>
      </c>
      <c r="H922">
        <v>90246942</v>
      </c>
      <c r="I922" t="s">
        <v>638</v>
      </c>
      <c r="J922">
        <v>73</v>
      </c>
      <c r="K922">
        <v>1473.87</v>
      </c>
    </row>
    <row r="923" spans="1:11" x14ac:dyDescent="0.3">
      <c r="A923">
        <v>2026</v>
      </c>
      <c r="B923">
        <v>1</v>
      </c>
      <c r="C923" t="s">
        <v>291</v>
      </c>
      <c r="D923" t="s">
        <v>292</v>
      </c>
      <c r="E923" t="str">
        <f>TEXT(24392243000180,"00000000000000")</f>
        <v>24392243000180</v>
      </c>
      <c r="F923" t="s">
        <v>609</v>
      </c>
      <c r="G923" t="s">
        <v>204</v>
      </c>
      <c r="H923">
        <v>90247647</v>
      </c>
      <c r="I923" t="s">
        <v>639</v>
      </c>
      <c r="J923">
        <v>330</v>
      </c>
      <c r="K923">
        <v>940.5</v>
      </c>
    </row>
    <row r="924" spans="1:11" x14ac:dyDescent="0.3">
      <c r="A924">
        <v>2026</v>
      </c>
      <c r="B924">
        <v>1</v>
      </c>
      <c r="C924" t="s">
        <v>291</v>
      </c>
      <c r="D924" t="s">
        <v>292</v>
      </c>
      <c r="E924" t="str">
        <f>TEXT(24392243000180,"00000000000000")</f>
        <v>24392243000180</v>
      </c>
      <c r="F924" t="s">
        <v>609</v>
      </c>
      <c r="G924" t="s">
        <v>204</v>
      </c>
      <c r="H924">
        <v>90376544</v>
      </c>
      <c r="I924" t="s">
        <v>640</v>
      </c>
      <c r="J924">
        <v>1</v>
      </c>
      <c r="K924">
        <v>1.6</v>
      </c>
    </row>
    <row r="925" spans="1:11" x14ac:dyDescent="0.3">
      <c r="A925">
        <v>2026</v>
      </c>
      <c r="B925">
        <v>1</v>
      </c>
      <c r="C925" t="s">
        <v>291</v>
      </c>
      <c r="D925" t="s">
        <v>292</v>
      </c>
      <c r="E925" t="str">
        <f>TEXT(24392243000180,"00000000000000")</f>
        <v>24392243000180</v>
      </c>
      <c r="F925" t="s">
        <v>609</v>
      </c>
      <c r="G925" t="s">
        <v>204</v>
      </c>
      <c r="H925">
        <v>90425618</v>
      </c>
      <c r="I925" t="s">
        <v>641</v>
      </c>
      <c r="J925">
        <v>1</v>
      </c>
      <c r="K925">
        <v>0.42</v>
      </c>
    </row>
    <row r="926" spans="1:11" x14ac:dyDescent="0.3">
      <c r="A926">
        <v>2026</v>
      </c>
      <c r="B926">
        <v>1</v>
      </c>
      <c r="C926" t="s">
        <v>291</v>
      </c>
      <c r="D926" t="s">
        <v>292</v>
      </c>
      <c r="E926" t="str">
        <f>TEXT(24392243000180,"00000000000000")</f>
        <v>24392243000180</v>
      </c>
      <c r="F926" t="s">
        <v>609</v>
      </c>
      <c r="G926" t="s">
        <v>204</v>
      </c>
      <c r="H926">
        <v>90486340</v>
      </c>
      <c r="I926" t="s">
        <v>642</v>
      </c>
      <c r="J926">
        <v>2</v>
      </c>
      <c r="K926">
        <v>29.22</v>
      </c>
    </row>
    <row r="927" spans="1:11" x14ac:dyDescent="0.3">
      <c r="A927">
        <v>2026</v>
      </c>
      <c r="B927">
        <v>1</v>
      </c>
      <c r="C927" t="s">
        <v>291</v>
      </c>
      <c r="D927" t="s">
        <v>292</v>
      </c>
      <c r="E927" t="str">
        <f>TEXT(28739553000180,"00000000000000")</f>
        <v>28739553000180</v>
      </c>
      <c r="F927" t="s">
        <v>643</v>
      </c>
      <c r="H927">
        <v>158567</v>
      </c>
      <c r="I927" t="s">
        <v>644</v>
      </c>
      <c r="J927">
        <v>1</v>
      </c>
      <c r="K927">
        <v>2856</v>
      </c>
    </row>
    <row r="928" spans="1:11" x14ac:dyDescent="0.3">
      <c r="A928">
        <v>2026</v>
      </c>
      <c r="B928">
        <v>1</v>
      </c>
      <c r="C928" t="s">
        <v>291</v>
      </c>
      <c r="D928" t="s">
        <v>292</v>
      </c>
      <c r="E928" t="str">
        <f>TEXT(28739553000180,"00000000000000")</f>
        <v>28739553000180</v>
      </c>
      <c r="F928" t="s">
        <v>643</v>
      </c>
      <c r="H928">
        <v>283641</v>
      </c>
      <c r="I928" t="s">
        <v>645</v>
      </c>
      <c r="J928">
        <v>1</v>
      </c>
      <c r="K928">
        <v>10800</v>
      </c>
    </row>
    <row r="929" spans="1:11" x14ac:dyDescent="0.3">
      <c r="A929">
        <v>2026</v>
      </c>
      <c r="B929">
        <v>1</v>
      </c>
      <c r="C929" t="s">
        <v>291</v>
      </c>
      <c r="D929" t="s">
        <v>292</v>
      </c>
      <c r="E929" t="str">
        <f>TEXT(28739553000180,"00000000000000")</f>
        <v>28739553000180</v>
      </c>
      <c r="F929" t="s">
        <v>643</v>
      </c>
      <c r="H929">
        <v>70139466</v>
      </c>
      <c r="I929" t="s">
        <v>646</v>
      </c>
      <c r="J929">
        <v>1</v>
      </c>
      <c r="K929">
        <v>3000</v>
      </c>
    </row>
    <row r="930" spans="1:11" x14ac:dyDescent="0.3">
      <c r="A930">
        <v>2026</v>
      </c>
      <c r="B930">
        <v>1</v>
      </c>
      <c r="C930" t="s">
        <v>291</v>
      </c>
      <c r="D930" t="s">
        <v>292</v>
      </c>
      <c r="E930" t="str">
        <f>TEXT(28739553000180,"00000000000000")</f>
        <v>28739553000180</v>
      </c>
      <c r="F930" t="s">
        <v>643</v>
      </c>
      <c r="H930">
        <v>70448167</v>
      </c>
      <c r="I930" t="s">
        <v>647</v>
      </c>
      <c r="J930">
        <v>1</v>
      </c>
      <c r="K930">
        <v>5520</v>
      </c>
    </row>
    <row r="931" spans="1:11" x14ac:dyDescent="0.3">
      <c r="A931">
        <v>2026</v>
      </c>
      <c r="B931">
        <v>1</v>
      </c>
      <c r="C931" t="s">
        <v>291</v>
      </c>
      <c r="D931" t="s">
        <v>292</v>
      </c>
      <c r="E931" t="str">
        <f>TEXT(28739553000180,"00000000000000")</f>
        <v>28739553000180</v>
      </c>
      <c r="F931" t="s">
        <v>643</v>
      </c>
      <c r="H931">
        <v>70599580</v>
      </c>
      <c r="I931" t="s">
        <v>648</v>
      </c>
      <c r="J931">
        <v>1</v>
      </c>
      <c r="K931">
        <v>5208</v>
      </c>
    </row>
    <row r="932" spans="1:11" x14ac:dyDescent="0.3">
      <c r="A932">
        <v>2026</v>
      </c>
      <c r="B932">
        <v>1</v>
      </c>
      <c r="C932" t="s">
        <v>291</v>
      </c>
      <c r="D932" t="s">
        <v>292</v>
      </c>
      <c r="E932" t="str">
        <f>TEXT(28739553000180,"00000000000000")</f>
        <v>28739553000180</v>
      </c>
      <c r="F932" t="s">
        <v>643</v>
      </c>
      <c r="H932">
        <v>70873283</v>
      </c>
      <c r="I932" t="s">
        <v>649</v>
      </c>
      <c r="J932">
        <v>1</v>
      </c>
      <c r="K932">
        <v>3586.8</v>
      </c>
    </row>
    <row r="933" spans="1:11" x14ac:dyDescent="0.3">
      <c r="A933">
        <v>2026</v>
      </c>
      <c r="B933">
        <v>1</v>
      </c>
      <c r="C933" t="s">
        <v>291</v>
      </c>
      <c r="D933" t="s">
        <v>292</v>
      </c>
      <c r="E933" t="str">
        <f>TEXT(28739553000180,"00000000000000")</f>
        <v>28739553000180</v>
      </c>
      <c r="F933" t="s">
        <v>643</v>
      </c>
      <c r="H933">
        <v>72204443</v>
      </c>
      <c r="I933" t="s">
        <v>650</v>
      </c>
      <c r="J933">
        <v>2</v>
      </c>
      <c r="K933">
        <v>3600</v>
      </c>
    </row>
    <row r="934" spans="1:11" x14ac:dyDescent="0.3">
      <c r="A934">
        <v>2026</v>
      </c>
      <c r="B934">
        <v>1</v>
      </c>
      <c r="C934" t="s">
        <v>291</v>
      </c>
      <c r="D934" t="s">
        <v>292</v>
      </c>
      <c r="E934" t="str">
        <f>TEXT(28739553000180,"00000000000000")</f>
        <v>28739553000180</v>
      </c>
      <c r="F934" t="s">
        <v>643</v>
      </c>
      <c r="H934">
        <v>72223758</v>
      </c>
      <c r="I934" t="s">
        <v>651</v>
      </c>
      <c r="J934">
        <v>4</v>
      </c>
      <c r="K934">
        <v>3048</v>
      </c>
    </row>
    <row r="935" spans="1:11" x14ac:dyDescent="0.3">
      <c r="A935">
        <v>2026</v>
      </c>
      <c r="B935">
        <v>1</v>
      </c>
      <c r="C935" t="s">
        <v>291</v>
      </c>
      <c r="D935" t="s">
        <v>292</v>
      </c>
      <c r="E935" t="str">
        <f>TEXT(28739553000180,"00000000000000")</f>
        <v>28739553000180</v>
      </c>
      <c r="F935" t="s">
        <v>643</v>
      </c>
      <c r="H935">
        <v>72613351</v>
      </c>
      <c r="I935" t="s">
        <v>652</v>
      </c>
      <c r="J935">
        <v>1</v>
      </c>
      <c r="K935">
        <v>2341.52</v>
      </c>
    </row>
    <row r="936" spans="1:11" x14ac:dyDescent="0.3">
      <c r="A936">
        <v>2026</v>
      </c>
      <c r="B936">
        <v>1</v>
      </c>
      <c r="C936" t="s">
        <v>291</v>
      </c>
      <c r="D936" t="s">
        <v>292</v>
      </c>
      <c r="E936" t="str">
        <f>TEXT(28739553000180,"00000000000000")</f>
        <v>28739553000180</v>
      </c>
      <c r="F936" t="s">
        <v>643</v>
      </c>
      <c r="H936">
        <v>72872403</v>
      </c>
      <c r="I936" t="s">
        <v>653</v>
      </c>
      <c r="J936">
        <v>1</v>
      </c>
      <c r="K936">
        <v>1938.36</v>
      </c>
    </row>
    <row r="937" spans="1:11" x14ac:dyDescent="0.3">
      <c r="A937">
        <v>2026</v>
      </c>
      <c r="B937">
        <v>1</v>
      </c>
      <c r="C937" t="s">
        <v>291</v>
      </c>
      <c r="D937" t="s">
        <v>292</v>
      </c>
      <c r="E937" t="str">
        <f>TEXT(28739553000180,"00000000000000")</f>
        <v>28739553000180</v>
      </c>
      <c r="F937" t="s">
        <v>643</v>
      </c>
      <c r="H937">
        <v>74017985</v>
      </c>
      <c r="I937" t="s">
        <v>654</v>
      </c>
      <c r="J937">
        <v>2</v>
      </c>
      <c r="K937">
        <v>2040</v>
      </c>
    </row>
    <row r="938" spans="1:11" x14ac:dyDescent="0.3">
      <c r="A938">
        <v>2026</v>
      </c>
      <c r="B938">
        <v>1</v>
      </c>
      <c r="C938" t="s">
        <v>291</v>
      </c>
      <c r="D938" t="s">
        <v>292</v>
      </c>
      <c r="E938" t="str">
        <f>TEXT(28739553000180,"00000000000000")</f>
        <v>28739553000180</v>
      </c>
      <c r="F938" t="s">
        <v>643</v>
      </c>
      <c r="H938">
        <v>78066689</v>
      </c>
      <c r="I938" t="s">
        <v>655</v>
      </c>
      <c r="J938">
        <v>4</v>
      </c>
      <c r="K938">
        <v>39840</v>
      </c>
    </row>
    <row r="939" spans="1:11" x14ac:dyDescent="0.3">
      <c r="A939">
        <v>2026</v>
      </c>
      <c r="B939">
        <v>1</v>
      </c>
      <c r="C939" t="s">
        <v>291</v>
      </c>
      <c r="D939" t="s">
        <v>292</v>
      </c>
      <c r="E939" t="str">
        <f>TEXT(28739553000180,"00000000000000")</f>
        <v>28739553000180</v>
      </c>
      <c r="F939" t="s">
        <v>643</v>
      </c>
      <c r="H939">
        <v>78234506</v>
      </c>
      <c r="I939" t="s">
        <v>656</v>
      </c>
      <c r="J939">
        <v>1</v>
      </c>
      <c r="K939">
        <v>4988.76</v>
      </c>
    </row>
    <row r="940" spans="1:11" x14ac:dyDescent="0.3">
      <c r="A940">
        <v>2026</v>
      </c>
      <c r="B940">
        <v>1</v>
      </c>
      <c r="C940" t="s">
        <v>291</v>
      </c>
      <c r="D940" t="s">
        <v>292</v>
      </c>
      <c r="E940" t="str">
        <f>TEXT(28739553000180,"00000000000000")</f>
        <v>28739553000180</v>
      </c>
      <c r="F940" t="s">
        <v>643</v>
      </c>
      <c r="H940">
        <v>78381584</v>
      </c>
      <c r="I940" t="s">
        <v>657</v>
      </c>
      <c r="J940">
        <v>1</v>
      </c>
      <c r="K940">
        <v>750</v>
      </c>
    </row>
    <row r="941" spans="1:11" x14ac:dyDescent="0.3">
      <c r="A941">
        <v>2026</v>
      </c>
      <c r="B941">
        <v>1</v>
      </c>
      <c r="C941" t="s">
        <v>291</v>
      </c>
      <c r="D941" t="s">
        <v>292</v>
      </c>
      <c r="E941" t="str">
        <f>TEXT(28739553000180,"00000000000000")</f>
        <v>28739553000180</v>
      </c>
      <c r="F941" t="s">
        <v>643</v>
      </c>
      <c r="H941">
        <v>78509866</v>
      </c>
      <c r="I941" t="s">
        <v>658</v>
      </c>
      <c r="J941">
        <v>1</v>
      </c>
      <c r="K941">
        <v>5520</v>
      </c>
    </row>
    <row r="942" spans="1:11" x14ac:dyDescent="0.3">
      <c r="A942">
        <v>2026</v>
      </c>
      <c r="B942">
        <v>1</v>
      </c>
      <c r="C942" t="s">
        <v>291</v>
      </c>
      <c r="D942" t="s">
        <v>292</v>
      </c>
      <c r="E942" t="str">
        <f>TEXT(28739553000180,"00000000000000")</f>
        <v>28739553000180</v>
      </c>
      <c r="F942" t="s">
        <v>643</v>
      </c>
      <c r="H942">
        <v>90183929</v>
      </c>
      <c r="I942" t="s">
        <v>659</v>
      </c>
      <c r="J942">
        <v>1</v>
      </c>
      <c r="K942">
        <v>1838.83</v>
      </c>
    </row>
    <row r="943" spans="1:11" x14ac:dyDescent="0.3">
      <c r="A943">
        <v>2026</v>
      </c>
      <c r="B943">
        <v>1</v>
      </c>
      <c r="C943" t="s">
        <v>291</v>
      </c>
      <c r="D943" t="s">
        <v>292</v>
      </c>
      <c r="E943" t="str">
        <f>TEXT(28739553000180,"00000000000000")</f>
        <v>28739553000180</v>
      </c>
      <c r="F943" t="s">
        <v>643</v>
      </c>
      <c r="H943">
        <v>98020081</v>
      </c>
      <c r="I943" t="s">
        <v>660</v>
      </c>
      <c r="J943">
        <v>2</v>
      </c>
      <c r="K943">
        <v>9800</v>
      </c>
    </row>
    <row r="944" spans="1:11" x14ac:dyDescent="0.3">
      <c r="A944">
        <v>2026</v>
      </c>
      <c r="B944">
        <v>1</v>
      </c>
      <c r="C944" t="s">
        <v>291</v>
      </c>
      <c r="D944" t="s">
        <v>292</v>
      </c>
      <c r="E944" t="str">
        <f>TEXT(28739553000180,"00000000000000")</f>
        <v>28739553000180</v>
      </c>
      <c r="F944" t="s">
        <v>643</v>
      </c>
      <c r="H944">
        <v>99933226</v>
      </c>
      <c r="I944" t="s">
        <v>661</v>
      </c>
      <c r="J944">
        <v>1</v>
      </c>
      <c r="K944">
        <v>1012.07</v>
      </c>
    </row>
    <row r="945" spans="1:11" x14ac:dyDescent="0.3">
      <c r="A945">
        <v>2026</v>
      </c>
      <c r="B945">
        <v>1</v>
      </c>
      <c r="C945" t="s">
        <v>291</v>
      </c>
      <c r="D945" t="s">
        <v>292</v>
      </c>
      <c r="E945" t="str">
        <f>TEXT(28739553000180,"00000000000000")</f>
        <v>28739553000180</v>
      </c>
      <c r="F945" t="s">
        <v>643</v>
      </c>
      <c r="H945">
        <v>99946767</v>
      </c>
      <c r="I945" t="s">
        <v>662</v>
      </c>
      <c r="J945">
        <v>1</v>
      </c>
      <c r="K945">
        <v>8760</v>
      </c>
    </row>
    <row r="946" spans="1:11" x14ac:dyDescent="0.3">
      <c r="A946">
        <v>2026</v>
      </c>
      <c r="B946">
        <v>1</v>
      </c>
      <c r="C946" t="s">
        <v>291</v>
      </c>
      <c r="D946" t="s">
        <v>292</v>
      </c>
      <c r="E946" t="str">
        <f>TEXT(28739553000180,"00000000000000")</f>
        <v>28739553000180</v>
      </c>
      <c r="F946" t="s">
        <v>643</v>
      </c>
      <c r="H946">
        <v>99986974</v>
      </c>
      <c r="I946" t="s">
        <v>663</v>
      </c>
      <c r="J946">
        <v>1</v>
      </c>
      <c r="K946">
        <v>7800</v>
      </c>
    </row>
    <row r="947" spans="1:11" x14ac:dyDescent="0.3">
      <c r="A947">
        <v>2026</v>
      </c>
      <c r="B947">
        <v>1</v>
      </c>
      <c r="C947" t="s">
        <v>291</v>
      </c>
      <c r="D947" t="s">
        <v>292</v>
      </c>
      <c r="E947" t="str">
        <f>TEXT(28739553000180,"00000000000000")</f>
        <v>28739553000180</v>
      </c>
      <c r="F947" t="s">
        <v>643</v>
      </c>
      <c r="G947" t="s">
        <v>123</v>
      </c>
      <c r="H947">
        <v>2001008</v>
      </c>
      <c r="I947" t="s">
        <v>664</v>
      </c>
      <c r="J947">
        <v>86</v>
      </c>
      <c r="K947">
        <v>28216.6</v>
      </c>
    </row>
    <row r="948" spans="1:11" x14ac:dyDescent="0.3">
      <c r="A948">
        <v>2026</v>
      </c>
      <c r="B948">
        <v>1</v>
      </c>
      <c r="C948" t="s">
        <v>291</v>
      </c>
      <c r="D948" t="s">
        <v>292</v>
      </c>
      <c r="E948" t="str">
        <f>TEXT(28739553000180,"00000000000000")</f>
        <v>28739553000180</v>
      </c>
      <c r="F948" t="s">
        <v>643</v>
      </c>
      <c r="G948" t="s">
        <v>123</v>
      </c>
      <c r="H948">
        <v>2001012</v>
      </c>
      <c r="I948" t="s">
        <v>477</v>
      </c>
      <c r="J948">
        <v>4</v>
      </c>
      <c r="K948">
        <v>228.8</v>
      </c>
    </row>
    <row r="949" spans="1:11" x14ac:dyDescent="0.3">
      <c r="A949">
        <v>2026</v>
      </c>
      <c r="B949">
        <v>1</v>
      </c>
      <c r="C949" t="s">
        <v>291</v>
      </c>
      <c r="D949" t="s">
        <v>292</v>
      </c>
      <c r="E949" t="str">
        <f>TEXT(28739553000180,"00000000000000")</f>
        <v>28739553000180</v>
      </c>
      <c r="F949" t="s">
        <v>643</v>
      </c>
      <c r="G949" t="s">
        <v>123</v>
      </c>
      <c r="H949">
        <v>5001005</v>
      </c>
      <c r="I949" t="s">
        <v>665</v>
      </c>
      <c r="J949">
        <v>680</v>
      </c>
      <c r="K949">
        <v>10200</v>
      </c>
    </row>
    <row r="950" spans="1:11" x14ac:dyDescent="0.3">
      <c r="A950">
        <v>2026</v>
      </c>
      <c r="B950">
        <v>1</v>
      </c>
      <c r="C950" t="s">
        <v>291</v>
      </c>
      <c r="D950" t="s">
        <v>292</v>
      </c>
      <c r="E950" t="str">
        <f>TEXT(28739553000180,"00000000000000")</f>
        <v>28739553000180</v>
      </c>
      <c r="F950" t="s">
        <v>643</v>
      </c>
      <c r="G950" t="s">
        <v>123</v>
      </c>
      <c r="H950">
        <v>5001006</v>
      </c>
      <c r="I950" t="s">
        <v>666</v>
      </c>
      <c r="J950">
        <v>137</v>
      </c>
      <c r="K950">
        <v>1781</v>
      </c>
    </row>
    <row r="951" spans="1:11" x14ac:dyDescent="0.3">
      <c r="A951">
        <v>2026</v>
      </c>
      <c r="B951">
        <v>1</v>
      </c>
      <c r="C951" t="s">
        <v>291</v>
      </c>
      <c r="D951" t="s">
        <v>292</v>
      </c>
      <c r="E951" t="str">
        <f>TEXT(28739553000180,"00000000000000")</f>
        <v>28739553000180</v>
      </c>
      <c r="F951" t="s">
        <v>643</v>
      </c>
      <c r="G951" t="s">
        <v>123</v>
      </c>
      <c r="H951">
        <v>5001007</v>
      </c>
      <c r="I951" t="s">
        <v>667</v>
      </c>
      <c r="J951">
        <v>191</v>
      </c>
      <c r="K951">
        <v>4467</v>
      </c>
    </row>
    <row r="952" spans="1:11" x14ac:dyDescent="0.3">
      <c r="A952">
        <v>2026</v>
      </c>
      <c r="B952">
        <v>1</v>
      </c>
      <c r="C952" t="s">
        <v>291</v>
      </c>
      <c r="D952" t="s">
        <v>292</v>
      </c>
      <c r="E952" t="str">
        <f>TEXT(28739553000180,"00000000000000")</f>
        <v>28739553000180</v>
      </c>
      <c r="F952" t="s">
        <v>643</v>
      </c>
      <c r="G952" t="s">
        <v>123</v>
      </c>
      <c r="H952">
        <v>60034335</v>
      </c>
      <c r="I952" t="s">
        <v>668</v>
      </c>
      <c r="J952">
        <v>90</v>
      </c>
      <c r="K952">
        <v>22.5</v>
      </c>
    </row>
    <row r="953" spans="1:11" x14ac:dyDescent="0.3">
      <c r="A953">
        <v>2026</v>
      </c>
      <c r="B953">
        <v>1</v>
      </c>
      <c r="C953" t="s">
        <v>291</v>
      </c>
      <c r="D953" t="s">
        <v>292</v>
      </c>
      <c r="E953" t="str">
        <f>TEXT(28739553000180,"00000000000000")</f>
        <v>28739553000180</v>
      </c>
      <c r="F953" t="s">
        <v>643</v>
      </c>
      <c r="G953" t="s">
        <v>123</v>
      </c>
      <c r="H953">
        <v>99000084</v>
      </c>
      <c r="I953" t="s">
        <v>614</v>
      </c>
      <c r="J953">
        <v>345</v>
      </c>
      <c r="K953">
        <v>86.25</v>
      </c>
    </row>
    <row r="954" spans="1:11" x14ac:dyDescent="0.3">
      <c r="A954">
        <v>2026</v>
      </c>
      <c r="B954">
        <v>1</v>
      </c>
      <c r="C954" t="s">
        <v>291</v>
      </c>
      <c r="D954" t="s">
        <v>292</v>
      </c>
      <c r="E954" t="str">
        <f>TEXT(28739553000180,"00000000000000")</f>
        <v>28739553000180</v>
      </c>
      <c r="F954" t="s">
        <v>643</v>
      </c>
      <c r="G954" t="s">
        <v>14</v>
      </c>
      <c r="H954">
        <v>20010</v>
      </c>
      <c r="I954" t="s">
        <v>130</v>
      </c>
      <c r="J954">
        <v>5</v>
      </c>
      <c r="K954">
        <v>128.19999999999999</v>
      </c>
    </row>
    <row r="955" spans="1:11" x14ac:dyDescent="0.3">
      <c r="A955">
        <v>2026</v>
      </c>
      <c r="B955">
        <v>1</v>
      </c>
      <c r="C955" t="s">
        <v>291</v>
      </c>
      <c r="D955" t="s">
        <v>292</v>
      </c>
      <c r="E955" t="str">
        <f>TEXT(28739553000180,"00000000000000")</f>
        <v>28739553000180</v>
      </c>
      <c r="F955" t="s">
        <v>643</v>
      </c>
      <c r="G955" t="s">
        <v>14</v>
      </c>
      <c r="H955">
        <v>40010</v>
      </c>
      <c r="I955" t="s">
        <v>669</v>
      </c>
      <c r="J955">
        <v>164</v>
      </c>
      <c r="K955">
        <v>10714.12</v>
      </c>
    </row>
    <row r="956" spans="1:11" x14ac:dyDescent="0.3">
      <c r="A956">
        <v>2026</v>
      </c>
      <c r="B956">
        <v>1</v>
      </c>
      <c r="C956" t="s">
        <v>291</v>
      </c>
      <c r="D956" t="s">
        <v>292</v>
      </c>
      <c r="E956" t="str">
        <f>TEXT(28739553000180,"00000000000000")</f>
        <v>28739553000180</v>
      </c>
      <c r="F956" t="s">
        <v>643</v>
      </c>
      <c r="G956" t="s">
        <v>14</v>
      </c>
      <c r="H956">
        <v>3001007</v>
      </c>
      <c r="I956" t="s">
        <v>670</v>
      </c>
      <c r="J956">
        <v>2</v>
      </c>
      <c r="K956">
        <v>352</v>
      </c>
    </row>
    <row r="957" spans="1:11" x14ac:dyDescent="0.3">
      <c r="A957">
        <v>2026</v>
      </c>
      <c r="B957">
        <v>1</v>
      </c>
      <c r="C957" t="s">
        <v>291</v>
      </c>
      <c r="D957" t="s">
        <v>292</v>
      </c>
      <c r="E957" t="str">
        <f>TEXT(28739553000180,"00000000000000")</f>
        <v>28739553000180</v>
      </c>
      <c r="F957" t="s">
        <v>643</v>
      </c>
      <c r="G957" t="s">
        <v>14</v>
      </c>
      <c r="H957">
        <v>3001010</v>
      </c>
      <c r="I957" t="s">
        <v>671</v>
      </c>
      <c r="J957">
        <v>2</v>
      </c>
      <c r="K957">
        <v>290</v>
      </c>
    </row>
    <row r="958" spans="1:11" x14ac:dyDescent="0.3">
      <c r="A958">
        <v>2026</v>
      </c>
      <c r="B958">
        <v>1</v>
      </c>
      <c r="C958" t="s">
        <v>291</v>
      </c>
      <c r="D958" t="s">
        <v>292</v>
      </c>
      <c r="E958" t="str">
        <f>TEXT(28739553000180,"00000000000000")</f>
        <v>28739553000180</v>
      </c>
      <c r="F958" t="s">
        <v>643</v>
      </c>
      <c r="G958" t="s">
        <v>14</v>
      </c>
      <c r="H958">
        <v>4001015</v>
      </c>
      <c r="I958" t="s">
        <v>672</v>
      </c>
      <c r="J958">
        <v>2</v>
      </c>
      <c r="K958">
        <v>30</v>
      </c>
    </row>
    <row r="959" spans="1:11" x14ac:dyDescent="0.3">
      <c r="A959">
        <v>2026</v>
      </c>
      <c r="B959">
        <v>1</v>
      </c>
      <c r="C959" t="s">
        <v>291</v>
      </c>
      <c r="D959" t="s">
        <v>292</v>
      </c>
      <c r="E959" t="str">
        <f>TEXT(28739553000180,"00000000000000")</f>
        <v>28739553000180</v>
      </c>
      <c r="F959" t="s">
        <v>643</v>
      </c>
      <c r="G959" t="s">
        <v>14</v>
      </c>
      <c r="H959">
        <v>4001039</v>
      </c>
      <c r="I959" t="s">
        <v>673</v>
      </c>
      <c r="J959">
        <v>205</v>
      </c>
      <c r="K959">
        <v>1435</v>
      </c>
    </row>
    <row r="960" spans="1:11" x14ac:dyDescent="0.3">
      <c r="A960">
        <v>2026</v>
      </c>
      <c r="B960">
        <v>1</v>
      </c>
      <c r="C960" t="s">
        <v>291</v>
      </c>
      <c r="D960" t="s">
        <v>292</v>
      </c>
      <c r="E960" t="str">
        <f>TEXT(28739553000180,"00000000000000")</f>
        <v>28739553000180</v>
      </c>
      <c r="F960" t="s">
        <v>643</v>
      </c>
      <c r="G960" t="s">
        <v>14</v>
      </c>
      <c r="H960">
        <v>20010052</v>
      </c>
      <c r="I960" t="s">
        <v>289</v>
      </c>
      <c r="J960">
        <v>1</v>
      </c>
      <c r="K960">
        <v>113.6</v>
      </c>
    </row>
    <row r="961" spans="1:11" x14ac:dyDescent="0.3">
      <c r="A961">
        <v>2026</v>
      </c>
      <c r="B961">
        <v>1</v>
      </c>
      <c r="C961" t="s">
        <v>291</v>
      </c>
      <c r="D961" t="s">
        <v>292</v>
      </c>
      <c r="E961" t="str">
        <f>TEXT(28739553000180,"00000000000000")</f>
        <v>28739553000180</v>
      </c>
      <c r="F961" t="s">
        <v>643</v>
      </c>
      <c r="G961" t="s">
        <v>14</v>
      </c>
      <c r="H961">
        <v>25020129</v>
      </c>
      <c r="I961" t="s">
        <v>479</v>
      </c>
      <c r="J961">
        <v>84</v>
      </c>
      <c r="K961">
        <v>1106.28</v>
      </c>
    </row>
    <row r="962" spans="1:11" x14ac:dyDescent="0.3">
      <c r="A962">
        <v>2026</v>
      </c>
      <c r="B962">
        <v>1</v>
      </c>
      <c r="C962" t="s">
        <v>291</v>
      </c>
      <c r="D962" t="s">
        <v>292</v>
      </c>
      <c r="E962" t="str">
        <f>TEXT(28739553000180,"00000000000000")</f>
        <v>28739553000180</v>
      </c>
      <c r="F962" t="s">
        <v>643</v>
      </c>
      <c r="G962" t="s">
        <v>14</v>
      </c>
      <c r="H962">
        <v>25040014</v>
      </c>
      <c r="I962" t="s">
        <v>480</v>
      </c>
      <c r="J962">
        <v>159</v>
      </c>
      <c r="K962">
        <v>1046.22</v>
      </c>
    </row>
    <row r="963" spans="1:11" x14ac:dyDescent="0.3">
      <c r="A963">
        <v>2026</v>
      </c>
      <c r="B963">
        <v>1</v>
      </c>
      <c r="C963" t="s">
        <v>291</v>
      </c>
      <c r="D963" t="s">
        <v>292</v>
      </c>
      <c r="E963" t="str">
        <f>TEXT(28739553000180,"00000000000000")</f>
        <v>28739553000180</v>
      </c>
      <c r="F963" t="s">
        <v>643</v>
      </c>
      <c r="G963" t="s">
        <v>14</v>
      </c>
      <c r="H963">
        <v>27040038</v>
      </c>
      <c r="I963" t="s">
        <v>674</v>
      </c>
      <c r="J963">
        <v>1</v>
      </c>
      <c r="K963">
        <v>12.66</v>
      </c>
    </row>
    <row r="964" spans="1:11" x14ac:dyDescent="0.3">
      <c r="A964">
        <v>2026</v>
      </c>
      <c r="B964">
        <v>1</v>
      </c>
      <c r="C964" t="s">
        <v>291</v>
      </c>
      <c r="D964" t="s">
        <v>292</v>
      </c>
      <c r="E964" t="str">
        <f>TEXT(28739553000180,"00000000000000")</f>
        <v>28739553000180</v>
      </c>
      <c r="F964" t="s">
        <v>643</v>
      </c>
      <c r="G964" t="s">
        <v>14</v>
      </c>
      <c r="H964">
        <v>27040380</v>
      </c>
      <c r="I964" t="s">
        <v>675</v>
      </c>
      <c r="J964">
        <v>5</v>
      </c>
      <c r="K964">
        <v>17.7</v>
      </c>
    </row>
    <row r="965" spans="1:11" x14ac:dyDescent="0.3">
      <c r="A965">
        <v>2026</v>
      </c>
      <c r="B965">
        <v>1</v>
      </c>
      <c r="C965" t="s">
        <v>291</v>
      </c>
      <c r="D965" t="s">
        <v>292</v>
      </c>
      <c r="E965" t="str">
        <f>TEXT(28739553000180,"00000000000000")</f>
        <v>28739553000180</v>
      </c>
      <c r="F965" t="s">
        <v>643</v>
      </c>
      <c r="G965" t="s">
        <v>14</v>
      </c>
      <c r="H965">
        <v>28010256</v>
      </c>
      <c r="I965" t="s">
        <v>76</v>
      </c>
      <c r="J965">
        <v>2</v>
      </c>
      <c r="K965">
        <v>7.68</v>
      </c>
    </row>
    <row r="966" spans="1:11" x14ac:dyDescent="0.3">
      <c r="A966">
        <v>2026</v>
      </c>
      <c r="B966">
        <v>1</v>
      </c>
      <c r="C966" t="s">
        <v>291</v>
      </c>
      <c r="D966" t="s">
        <v>292</v>
      </c>
      <c r="E966" t="str">
        <f>TEXT(28739553000180,"00000000000000")</f>
        <v>28739553000180</v>
      </c>
      <c r="F966" t="s">
        <v>643</v>
      </c>
      <c r="G966" t="s">
        <v>14</v>
      </c>
      <c r="H966">
        <v>28010299</v>
      </c>
      <c r="I966" t="s">
        <v>20</v>
      </c>
      <c r="J966">
        <v>5</v>
      </c>
      <c r="K966">
        <v>21.4</v>
      </c>
    </row>
    <row r="967" spans="1:11" x14ac:dyDescent="0.3">
      <c r="A967">
        <v>2026</v>
      </c>
      <c r="B967">
        <v>1</v>
      </c>
      <c r="C967" t="s">
        <v>291</v>
      </c>
      <c r="D967" t="s">
        <v>292</v>
      </c>
      <c r="E967" t="str">
        <f>TEXT(28739553000180,"00000000000000")</f>
        <v>28739553000180</v>
      </c>
      <c r="F967" t="s">
        <v>643</v>
      </c>
      <c r="G967" t="s">
        <v>14</v>
      </c>
      <c r="H967">
        <v>28010329</v>
      </c>
      <c r="I967" t="s">
        <v>21</v>
      </c>
      <c r="J967">
        <v>5</v>
      </c>
      <c r="K967">
        <v>14.8</v>
      </c>
    </row>
    <row r="968" spans="1:11" x14ac:dyDescent="0.3">
      <c r="A968">
        <v>2026</v>
      </c>
      <c r="B968">
        <v>1</v>
      </c>
      <c r="C968" t="s">
        <v>291</v>
      </c>
      <c r="D968" t="s">
        <v>292</v>
      </c>
      <c r="E968" t="str">
        <f>TEXT(28739553000180,"00000000000000")</f>
        <v>28739553000180</v>
      </c>
      <c r="F968" t="s">
        <v>643</v>
      </c>
      <c r="G968" t="s">
        <v>14</v>
      </c>
      <c r="H968">
        <v>28010469</v>
      </c>
      <c r="I968" t="s">
        <v>22</v>
      </c>
      <c r="J968">
        <v>36</v>
      </c>
      <c r="K968">
        <v>108</v>
      </c>
    </row>
    <row r="969" spans="1:11" x14ac:dyDescent="0.3">
      <c r="A969">
        <v>2026</v>
      </c>
      <c r="B969">
        <v>1</v>
      </c>
      <c r="C969" t="s">
        <v>291</v>
      </c>
      <c r="D969" t="s">
        <v>292</v>
      </c>
      <c r="E969" t="str">
        <f>TEXT(28739553000180,"00000000000000")</f>
        <v>28739553000180</v>
      </c>
      <c r="F969" t="s">
        <v>643</v>
      </c>
      <c r="G969" t="s">
        <v>14</v>
      </c>
      <c r="H969">
        <v>28010540</v>
      </c>
      <c r="I969" t="s">
        <v>23</v>
      </c>
      <c r="J969">
        <v>40</v>
      </c>
      <c r="K969">
        <v>120</v>
      </c>
    </row>
    <row r="970" spans="1:11" x14ac:dyDescent="0.3">
      <c r="A970">
        <v>2026</v>
      </c>
      <c r="B970">
        <v>1</v>
      </c>
      <c r="C970" t="s">
        <v>291</v>
      </c>
      <c r="D970" t="s">
        <v>292</v>
      </c>
      <c r="E970" t="str">
        <f>TEXT(28739553000180,"00000000000000")</f>
        <v>28739553000180</v>
      </c>
      <c r="F970" t="s">
        <v>643</v>
      </c>
      <c r="G970" t="s">
        <v>14</v>
      </c>
      <c r="H970">
        <v>28010850</v>
      </c>
      <c r="I970" t="s">
        <v>26</v>
      </c>
      <c r="J970">
        <v>4</v>
      </c>
      <c r="K970">
        <v>15.36</v>
      </c>
    </row>
    <row r="971" spans="1:11" x14ac:dyDescent="0.3">
      <c r="A971">
        <v>2026</v>
      </c>
      <c r="B971">
        <v>1</v>
      </c>
      <c r="C971" t="s">
        <v>291</v>
      </c>
      <c r="D971" t="s">
        <v>292</v>
      </c>
      <c r="E971" t="str">
        <f>TEXT(28739553000180,"00000000000000")</f>
        <v>28739553000180</v>
      </c>
      <c r="F971" t="s">
        <v>643</v>
      </c>
      <c r="G971" t="s">
        <v>14</v>
      </c>
      <c r="H971">
        <v>28010892</v>
      </c>
      <c r="I971" t="s">
        <v>27</v>
      </c>
      <c r="J971">
        <v>4</v>
      </c>
      <c r="K971">
        <v>12</v>
      </c>
    </row>
    <row r="972" spans="1:11" x14ac:dyDescent="0.3">
      <c r="A972">
        <v>2026</v>
      </c>
      <c r="B972">
        <v>1</v>
      </c>
      <c r="C972" t="s">
        <v>291</v>
      </c>
      <c r="D972" t="s">
        <v>292</v>
      </c>
      <c r="E972" t="str">
        <f>TEXT(28739553000180,"00000000000000")</f>
        <v>28739553000180</v>
      </c>
      <c r="F972" t="s">
        <v>643</v>
      </c>
      <c r="G972" t="s">
        <v>14</v>
      </c>
      <c r="H972">
        <v>28010957</v>
      </c>
      <c r="I972" t="s">
        <v>28</v>
      </c>
      <c r="J972">
        <v>3</v>
      </c>
      <c r="K972">
        <v>12.72</v>
      </c>
    </row>
    <row r="973" spans="1:11" x14ac:dyDescent="0.3">
      <c r="A973">
        <v>2026</v>
      </c>
      <c r="B973">
        <v>1</v>
      </c>
      <c r="C973" t="s">
        <v>291</v>
      </c>
      <c r="D973" t="s">
        <v>292</v>
      </c>
      <c r="E973" t="str">
        <f>TEXT(28739553000180,"00000000000000")</f>
        <v>28739553000180</v>
      </c>
      <c r="F973" t="s">
        <v>643</v>
      </c>
      <c r="G973" t="s">
        <v>14</v>
      </c>
      <c r="H973">
        <v>28010973</v>
      </c>
      <c r="I973" t="s">
        <v>29</v>
      </c>
      <c r="J973">
        <v>2</v>
      </c>
      <c r="K973">
        <v>6</v>
      </c>
    </row>
    <row r="974" spans="1:11" x14ac:dyDescent="0.3">
      <c r="A974">
        <v>2026</v>
      </c>
      <c r="B974">
        <v>1</v>
      </c>
      <c r="C974" t="s">
        <v>291</v>
      </c>
      <c r="D974" t="s">
        <v>292</v>
      </c>
      <c r="E974" t="str">
        <f>TEXT(28739553000180,"00000000000000")</f>
        <v>28739553000180</v>
      </c>
      <c r="F974" t="s">
        <v>643</v>
      </c>
      <c r="G974" t="s">
        <v>14</v>
      </c>
      <c r="H974">
        <v>28011082</v>
      </c>
      <c r="I974" t="s">
        <v>79</v>
      </c>
      <c r="J974">
        <v>2</v>
      </c>
      <c r="K974">
        <v>8.64</v>
      </c>
    </row>
    <row r="975" spans="1:11" x14ac:dyDescent="0.3">
      <c r="A975">
        <v>2026</v>
      </c>
      <c r="B975">
        <v>1</v>
      </c>
      <c r="C975" t="s">
        <v>291</v>
      </c>
      <c r="D975" t="s">
        <v>292</v>
      </c>
      <c r="E975" t="str">
        <f>TEXT(28739553000180,"00000000000000")</f>
        <v>28739553000180</v>
      </c>
      <c r="F975" t="s">
        <v>643</v>
      </c>
      <c r="G975" t="s">
        <v>14</v>
      </c>
      <c r="H975">
        <v>28011112</v>
      </c>
      <c r="I975" t="s">
        <v>676</v>
      </c>
      <c r="J975">
        <v>2</v>
      </c>
      <c r="K975">
        <v>8.48</v>
      </c>
    </row>
    <row r="976" spans="1:11" x14ac:dyDescent="0.3">
      <c r="A976">
        <v>2026</v>
      </c>
      <c r="B976">
        <v>1</v>
      </c>
      <c r="C976" t="s">
        <v>291</v>
      </c>
      <c r="D976" t="s">
        <v>292</v>
      </c>
      <c r="E976" t="str">
        <f>TEXT(28739553000180,"00000000000000")</f>
        <v>28739553000180</v>
      </c>
      <c r="F976" t="s">
        <v>643</v>
      </c>
      <c r="G976" t="s">
        <v>14</v>
      </c>
      <c r="H976">
        <v>28011120</v>
      </c>
      <c r="I976" t="s">
        <v>32</v>
      </c>
      <c r="J976">
        <v>16</v>
      </c>
      <c r="K976">
        <v>54.4</v>
      </c>
    </row>
    <row r="977" spans="1:11" x14ac:dyDescent="0.3">
      <c r="A977">
        <v>2026</v>
      </c>
      <c r="B977">
        <v>1</v>
      </c>
      <c r="C977" t="s">
        <v>291</v>
      </c>
      <c r="D977" t="s">
        <v>292</v>
      </c>
      <c r="E977" t="str">
        <f>TEXT(28739553000180,"00000000000000")</f>
        <v>28739553000180</v>
      </c>
      <c r="F977" t="s">
        <v>643</v>
      </c>
      <c r="G977" t="s">
        <v>14</v>
      </c>
      <c r="H977">
        <v>28011210</v>
      </c>
      <c r="I977" t="s">
        <v>34</v>
      </c>
      <c r="J977">
        <v>41</v>
      </c>
      <c r="K977">
        <v>121.36</v>
      </c>
    </row>
    <row r="978" spans="1:11" x14ac:dyDescent="0.3">
      <c r="A978">
        <v>2026</v>
      </c>
      <c r="B978">
        <v>1</v>
      </c>
      <c r="C978" t="s">
        <v>291</v>
      </c>
      <c r="D978" t="s">
        <v>292</v>
      </c>
      <c r="E978" t="str">
        <f>TEXT(28739553000180,"00000000000000")</f>
        <v>28739553000180</v>
      </c>
      <c r="F978" t="s">
        <v>643</v>
      </c>
      <c r="G978" t="s">
        <v>14</v>
      </c>
      <c r="H978">
        <v>28011244</v>
      </c>
      <c r="I978" t="s">
        <v>98</v>
      </c>
      <c r="J978">
        <v>4</v>
      </c>
      <c r="K978">
        <v>24</v>
      </c>
    </row>
    <row r="979" spans="1:11" x14ac:dyDescent="0.3">
      <c r="A979">
        <v>2026</v>
      </c>
      <c r="B979">
        <v>1</v>
      </c>
      <c r="C979" t="s">
        <v>291</v>
      </c>
      <c r="D979" t="s">
        <v>292</v>
      </c>
      <c r="E979" t="str">
        <f>TEXT(28739553000180,"00000000000000")</f>
        <v>28739553000180</v>
      </c>
      <c r="F979" t="s">
        <v>643</v>
      </c>
      <c r="G979" t="s">
        <v>14</v>
      </c>
      <c r="H979">
        <v>28011252</v>
      </c>
      <c r="I979" t="s">
        <v>35</v>
      </c>
      <c r="J979">
        <v>34</v>
      </c>
      <c r="K979">
        <v>102</v>
      </c>
    </row>
    <row r="980" spans="1:11" x14ac:dyDescent="0.3">
      <c r="A980">
        <v>2026</v>
      </c>
      <c r="B980">
        <v>1</v>
      </c>
      <c r="C980" t="s">
        <v>291</v>
      </c>
      <c r="D980" t="s">
        <v>292</v>
      </c>
      <c r="E980" t="str">
        <f>TEXT(28739553000180,"00000000000000")</f>
        <v>28739553000180</v>
      </c>
      <c r="F980" t="s">
        <v>643</v>
      </c>
      <c r="G980" t="s">
        <v>14</v>
      </c>
      <c r="H980">
        <v>28011279</v>
      </c>
      <c r="I980" t="s">
        <v>36</v>
      </c>
      <c r="J980">
        <v>41</v>
      </c>
      <c r="K980">
        <v>121.36</v>
      </c>
    </row>
    <row r="981" spans="1:11" x14ac:dyDescent="0.3">
      <c r="A981">
        <v>2026</v>
      </c>
      <c r="B981">
        <v>1</v>
      </c>
      <c r="C981" t="s">
        <v>291</v>
      </c>
      <c r="D981" t="s">
        <v>292</v>
      </c>
      <c r="E981" t="str">
        <f>TEXT(28739553000180,"00000000000000")</f>
        <v>28739553000180</v>
      </c>
      <c r="F981" t="s">
        <v>643</v>
      </c>
      <c r="G981" t="s">
        <v>14</v>
      </c>
      <c r="H981">
        <v>28011368</v>
      </c>
      <c r="I981" t="s">
        <v>37</v>
      </c>
      <c r="J981">
        <v>5</v>
      </c>
      <c r="K981">
        <v>15</v>
      </c>
    </row>
    <row r="982" spans="1:11" x14ac:dyDescent="0.3">
      <c r="A982">
        <v>2026</v>
      </c>
      <c r="B982">
        <v>1</v>
      </c>
      <c r="C982" t="s">
        <v>291</v>
      </c>
      <c r="D982" t="s">
        <v>292</v>
      </c>
      <c r="E982" t="str">
        <f>TEXT(28739553000180,"00000000000000")</f>
        <v>28739553000180</v>
      </c>
      <c r="F982" t="s">
        <v>643</v>
      </c>
      <c r="G982" t="s">
        <v>14</v>
      </c>
      <c r="H982">
        <v>28011414</v>
      </c>
      <c r="I982" t="s">
        <v>39</v>
      </c>
      <c r="J982">
        <v>42</v>
      </c>
      <c r="K982">
        <v>126</v>
      </c>
    </row>
    <row r="983" spans="1:11" x14ac:dyDescent="0.3">
      <c r="A983">
        <v>2026</v>
      </c>
      <c r="B983">
        <v>1</v>
      </c>
      <c r="C983" t="s">
        <v>291</v>
      </c>
      <c r="D983" t="s">
        <v>292</v>
      </c>
      <c r="E983" t="str">
        <f>TEXT(28739553000180,"00000000000000")</f>
        <v>28739553000180</v>
      </c>
      <c r="F983" t="s">
        <v>643</v>
      </c>
      <c r="G983" t="s">
        <v>14</v>
      </c>
      <c r="H983">
        <v>28011783</v>
      </c>
      <c r="I983" t="s">
        <v>411</v>
      </c>
      <c r="J983">
        <v>18</v>
      </c>
      <c r="K983">
        <v>460.8</v>
      </c>
    </row>
    <row r="984" spans="1:11" x14ac:dyDescent="0.3">
      <c r="A984">
        <v>2026</v>
      </c>
      <c r="B984">
        <v>1</v>
      </c>
      <c r="C984" t="s">
        <v>291</v>
      </c>
      <c r="D984" t="s">
        <v>292</v>
      </c>
      <c r="E984" t="str">
        <f>TEXT(28739553000180,"00000000000000")</f>
        <v>28739553000180</v>
      </c>
      <c r="F984" t="s">
        <v>643</v>
      </c>
      <c r="G984" t="s">
        <v>14</v>
      </c>
      <c r="H984">
        <v>28011791</v>
      </c>
      <c r="I984" t="s">
        <v>279</v>
      </c>
      <c r="J984">
        <v>25</v>
      </c>
      <c r="K984">
        <v>500</v>
      </c>
    </row>
    <row r="985" spans="1:11" x14ac:dyDescent="0.3">
      <c r="A985">
        <v>2026</v>
      </c>
      <c r="B985">
        <v>1</v>
      </c>
      <c r="C985" t="s">
        <v>291</v>
      </c>
      <c r="D985" t="s">
        <v>292</v>
      </c>
      <c r="E985" t="str">
        <f>TEXT(28739553000180,"00000000000000")</f>
        <v>28739553000180</v>
      </c>
      <c r="F985" t="s">
        <v>643</v>
      </c>
      <c r="G985" t="s">
        <v>14</v>
      </c>
      <c r="H985">
        <v>28040414</v>
      </c>
      <c r="I985" t="s">
        <v>677</v>
      </c>
      <c r="J985">
        <v>1</v>
      </c>
      <c r="K985">
        <v>2.12</v>
      </c>
    </row>
    <row r="986" spans="1:11" x14ac:dyDescent="0.3">
      <c r="A986">
        <v>2026</v>
      </c>
      <c r="B986">
        <v>1</v>
      </c>
      <c r="C986" t="s">
        <v>291</v>
      </c>
      <c r="D986" t="s">
        <v>292</v>
      </c>
      <c r="E986" t="str">
        <f>TEXT(28739553000180,"00000000000000")</f>
        <v>28739553000180</v>
      </c>
      <c r="F986" t="s">
        <v>643</v>
      </c>
      <c r="G986" t="s">
        <v>14</v>
      </c>
      <c r="H986">
        <v>28040422</v>
      </c>
      <c r="I986" t="s">
        <v>678</v>
      </c>
      <c r="J986">
        <v>1</v>
      </c>
      <c r="K986">
        <v>2.12</v>
      </c>
    </row>
    <row r="987" spans="1:11" x14ac:dyDescent="0.3">
      <c r="A987">
        <v>2026</v>
      </c>
      <c r="B987">
        <v>1</v>
      </c>
      <c r="C987" t="s">
        <v>291</v>
      </c>
      <c r="D987" t="s">
        <v>292</v>
      </c>
      <c r="E987" t="str">
        <f>TEXT(28739553000180,"00000000000000")</f>
        <v>28739553000180</v>
      </c>
      <c r="F987" t="s">
        <v>643</v>
      </c>
      <c r="G987" t="s">
        <v>14</v>
      </c>
      <c r="H987">
        <v>28040481</v>
      </c>
      <c r="I987" t="s">
        <v>42</v>
      </c>
      <c r="J987">
        <v>38</v>
      </c>
      <c r="K987">
        <v>243.2</v>
      </c>
    </row>
    <row r="988" spans="1:11" x14ac:dyDescent="0.3">
      <c r="A988">
        <v>2026</v>
      </c>
      <c r="B988">
        <v>1</v>
      </c>
      <c r="C988" t="s">
        <v>291</v>
      </c>
      <c r="D988" t="s">
        <v>292</v>
      </c>
      <c r="E988" t="str">
        <f>TEXT(28739553000180,"00000000000000")</f>
        <v>28739553000180</v>
      </c>
      <c r="F988" t="s">
        <v>643</v>
      </c>
      <c r="G988" t="s">
        <v>14</v>
      </c>
      <c r="H988">
        <v>28040732</v>
      </c>
      <c r="I988" t="s">
        <v>100</v>
      </c>
      <c r="J988">
        <v>16</v>
      </c>
      <c r="K988">
        <v>61.44</v>
      </c>
    </row>
    <row r="989" spans="1:11" x14ac:dyDescent="0.3">
      <c r="A989">
        <v>2026</v>
      </c>
      <c r="B989">
        <v>1</v>
      </c>
      <c r="C989" t="s">
        <v>291</v>
      </c>
      <c r="D989" t="s">
        <v>292</v>
      </c>
      <c r="E989" t="str">
        <f>TEXT(28739553000180,"00000000000000")</f>
        <v>28739553000180</v>
      </c>
      <c r="F989" t="s">
        <v>643</v>
      </c>
      <c r="G989" t="s">
        <v>14</v>
      </c>
      <c r="H989">
        <v>28040791</v>
      </c>
      <c r="I989" t="s">
        <v>85</v>
      </c>
      <c r="J989">
        <v>16</v>
      </c>
      <c r="K989">
        <v>61.44</v>
      </c>
    </row>
    <row r="990" spans="1:11" x14ac:dyDescent="0.3">
      <c r="A990">
        <v>2026</v>
      </c>
      <c r="B990">
        <v>1</v>
      </c>
      <c r="C990" t="s">
        <v>291</v>
      </c>
      <c r="D990" t="s">
        <v>292</v>
      </c>
      <c r="E990" t="str">
        <f>TEXT(28739553000180,"00000000000000")</f>
        <v>28739553000180</v>
      </c>
      <c r="F990" t="s">
        <v>643</v>
      </c>
      <c r="G990" t="s">
        <v>14</v>
      </c>
      <c r="H990">
        <v>28060067</v>
      </c>
      <c r="I990" t="s">
        <v>430</v>
      </c>
      <c r="J990">
        <v>1</v>
      </c>
      <c r="K990">
        <v>21.36</v>
      </c>
    </row>
    <row r="991" spans="1:11" x14ac:dyDescent="0.3">
      <c r="A991">
        <v>2026</v>
      </c>
      <c r="B991">
        <v>1</v>
      </c>
      <c r="C991" t="s">
        <v>291</v>
      </c>
      <c r="D991" t="s">
        <v>292</v>
      </c>
      <c r="E991" t="str">
        <f>TEXT(28739553000180,"00000000000000")</f>
        <v>28739553000180</v>
      </c>
      <c r="F991" t="s">
        <v>643</v>
      </c>
      <c r="G991" t="s">
        <v>14</v>
      </c>
      <c r="H991">
        <v>28060105</v>
      </c>
      <c r="I991" t="s">
        <v>87</v>
      </c>
      <c r="J991">
        <v>1</v>
      </c>
      <c r="K991">
        <v>21.4</v>
      </c>
    </row>
    <row r="992" spans="1:11" x14ac:dyDescent="0.3">
      <c r="A992">
        <v>2026</v>
      </c>
      <c r="B992">
        <v>1</v>
      </c>
      <c r="C992" t="s">
        <v>291</v>
      </c>
      <c r="D992" t="s">
        <v>292</v>
      </c>
      <c r="E992" t="str">
        <f>TEXT(28739553000180,"00000000000000")</f>
        <v>28739553000180</v>
      </c>
      <c r="F992" t="s">
        <v>643</v>
      </c>
      <c r="G992" t="s">
        <v>14</v>
      </c>
      <c r="H992">
        <v>28060210</v>
      </c>
      <c r="I992" t="s">
        <v>58</v>
      </c>
      <c r="J992">
        <v>1</v>
      </c>
      <c r="K992">
        <v>15.2</v>
      </c>
    </row>
    <row r="993" spans="1:11" x14ac:dyDescent="0.3">
      <c r="A993">
        <v>2026</v>
      </c>
      <c r="B993">
        <v>1</v>
      </c>
      <c r="C993" t="s">
        <v>291</v>
      </c>
      <c r="D993" t="s">
        <v>292</v>
      </c>
      <c r="E993" t="str">
        <f>TEXT(28739553000180,"00000000000000")</f>
        <v>28739553000180</v>
      </c>
      <c r="F993" t="s">
        <v>643</v>
      </c>
      <c r="G993" t="s">
        <v>14</v>
      </c>
      <c r="H993">
        <v>28060873</v>
      </c>
      <c r="I993" t="s">
        <v>61</v>
      </c>
      <c r="J993">
        <v>28</v>
      </c>
      <c r="K993">
        <v>89.6</v>
      </c>
    </row>
    <row r="994" spans="1:11" x14ac:dyDescent="0.3">
      <c r="A994">
        <v>2026</v>
      </c>
      <c r="B994">
        <v>1</v>
      </c>
      <c r="C994" t="s">
        <v>291</v>
      </c>
      <c r="D994" t="s">
        <v>292</v>
      </c>
      <c r="E994" t="str">
        <f>TEXT(28739553000180,"00000000000000")</f>
        <v>28739553000180</v>
      </c>
      <c r="F994" t="s">
        <v>643</v>
      </c>
      <c r="G994" t="s">
        <v>14</v>
      </c>
      <c r="H994">
        <v>28061004</v>
      </c>
      <c r="I994" t="s">
        <v>62</v>
      </c>
      <c r="J994">
        <v>1</v>
      </c>
      <c r="K994">
        <v>3.84</v>
      </c>
    </row>
    <row r="995" spans="1:11" x14ac:dyDescent="0.3">
      <c r="A995">
        <v>2026</v>
      </c>
      <c r="B995">
        <v>1</v>
      </c>
      <c r="C995" t="s">
        <v>291</v>
      </c>
      <c r="D995" t="s">
        <v>292</v>
      </c>
      <c r="E995" t="str">
        <f>TEXT(28739553000180,"00000000000000")</f>
        <v>28739553000180</v>
      </c>
      <c r="F995" t="s">
        <v>643</v>
      </c>
      <c r="G995" t="s">
        <v>14</v>
      </c>
      <c r="H995">
        <v>28061179</v>
      </c>
      <c r="I995" t="s">
        <v>90</v>
      </c>
      <c r="J995">
        <v>1</v>
      </c>
      <c r="K995">
        <v>30</v>
      </c>
    </row>
    <row r="996" spans="1:11" x14ac:dyDescent="0.3">
      <c r="A996">
        <v>2026</v>
      </c>
      <c r="B996">
        <v>1</v>
      </c>
      <c r="C996" t="s">
        <v>291</v>
      </c>
      <c r="D996" t="s">
        <v>292</v>
      </c>
      <c r="E996" t="str">
        <f>TEXT(28739553000180,"00000000000000")</f>
        <v>28739553000180</v>
      </c>
      <c r="F996" t="s">
        <v>643</v>
      </c>
      <c r="G996" t="s">
        <v>14</v>
      </c>
      <c r="H996">
        <v>28061195</v>
      </c>
      <c r="I996" t="s">
        <v>444</v>
      </c>
      <c r="J996">
        <v>1</v>
      </c>
      <c r="K996">
        <v>25.6</v>
      </c>
    </row>
    <row r="997" spans="1:11" x14ac:dyDescent="0.3">
      <c r="A997">
        <v>2026</v>
      </c>
      <c r="B997">
        <v>1</v>
      </c>
      <c r="C997" t="s">
        <v>291</v>
      </c>
      <c r="D997" t="s">
        <v>292</v>
      </c>
      <c r="E997" t="str">
        <f>TEXT(28739553000180,"00000000000000")</f>
        <v>28739553000180</v>
      </c>
      <c r="F997" t="s">
        <v>643</v>
      </c>
      <c r="G997" t="s">
        <v>14</v>
      </c>
      <c r="H997">
        <v>28061659</v>
      </c>
      <c r="I997" t="s">
        <v>63</v>
      </c>
      <c r="J997">
        <v>1</v>
      </c>
      <c r="K997">
        <v>43.2</v>
      </c>
    </row>
    <row r="998" spans="1:11" x14ac:dyDescent="0.3">
      <c r="A998">
        <v>2026</v>
      </c>
      <c r="B998">
        <v>1</v>
      </c>
      <c r="C998" t="s">
        <v>291</v>
      </c>
      <c r="D998" t="s">
        <v>292</v>
      </c>
      <c r="E998" t="str">
        <f>TEXT(28739553000180,"00000000000000")</f>
        <v>28739553000180</v>
      </c>
      <c r="F998" t="s">
        <v>643</v>
      </c>
      <c r="G998" t="s">
        <v>14</v>
      </c>
      <c r="H998">
        <v>28100298</v>
      </c>
      <c r="I998" t="s">
        <v>285</v>
      </c>
      <c r="J998">
        <v>14</v>
      </c>
      <c r="K998">
        <v>151.19999999999999</v>
      </c>
    </row>
    <row r="999" spans="1:11" x14ac:dyDescent="0.3">
      <c r="A999">
        <v>2026</v>
      </c>
      <c r="B999">
        <v>1</v>
      </c>
      <c r="C999" t="s">
        <v>291</v>
      </c>
      <c r="D999" t="s">
        <v>292</v>
      </c>
      <c r="E999" t="str">
        <f>TEXT(28739553000180,"00000000000000")</f>
        <v>28739553000180</v>
      </c>
      <c r="F999" t="s">
        <v>643</v>
      </c>
      <c r="G999" t="s">
        <v>14</v>
      </c>
      <c r="H999">
        <v>28100662</v>
      </c>
      <c r="I999" t="s">
        <v>465</v>
      </c>
      <c r="J999">
        <v>7</v>
      </c>
      <c r="K999">
        <v>117.6</v>
      </c>
    </row>
    <row r="1000" spans="1:11" x14ac:dyDescent="0.3">
      <c r="A1000">
        <v>2026</v>
      </c>
      <c r="B1000">
        <v>1</v>
      </c>
      <c r="C1000" t="s">
        <v>291</v>
      </c>
      <c r="D1000" t="s">
        <v>292</v>
      </c>
      <c r="E1000" t="str">
        <f>TEXT(28739553000180,"00000000000000")</f>
        <v>28739553000180</v>
      </c>
      <c r="F1000" t="s">
        <v>643</v>
      </c>
      <c r="G1000" t="s">
        <v>14</v>
      </c>
      <c r="H1000">
        <v>28130367</v>
      </c>
      <c r="I1000" t="s">
        <v>69</v>
      </c>
      <c r="J1000">
        <v>7</v>
      </c>
      <c r="K1000">
        <v>26.88</v>
      </c>
    </row>
    <row r="1001" spans="1:11" x14ac:dyDescent="0.3">
      <c r="A1001">
        <v>2026</v>
      </c>
      <c r="B1001">
        <v>1</v>
      </c>
      <c r="C1001" t="s">
        <v>291</v>
      </c>
      <c r="D1001" t="s">
        <v>292</v>
      </c>
      <c r="E1001" t="str">
        <f>TEXT(28739553000180,"00000000000000")</f>
        <v>28739553000180</v>
      </c>
      <c r="F1001" t="s">
        <v>643</v>
      </c>
      <c r="G1001" t="s">
        <v>14</v>
      </c>
      <c r="H1001">
        <v>30911079</v>
      </c>
      <c r="I1001" t="s">
        <v>679</v>
      </c>
      <c r="J1001">
        <v>8</v>
      </c>
      <c r="K1001">
        <v>1768</v>
      </c>
    </row>
    <row r="1002" spans="1:11" x14ac:dyDescent="0.3">
      <c r="A1002">
        <v>2026</v>
      </c>
      <c r="B1002">
        <v>1</v>
      </c>
      <c r="C1002" t="s">
        <v>291</v>
      </c>
      <c r="D1002" t="s">
        <v>292</v>
      </c>
      <c r="E1002" t="str">
        <f>TEXT(28739553000180,"00000000000000")</f>
        <v>28739553000180</v>
      </c>
      <c r="F1002" t="s">
        <v>643</v>
      </c>
      <c r="G1002" t="s">
        <v>14</v>
      </c>
      <c r="H1002">
        <v>32050054</v>
      </c>
      <c r="I1002" t="s">
        <v>145</v>
      </c>
      <c r="J1002">
        <v>16</v>
      </c>
      <c r="K1002">
        <v>565.12</v>
      </c>
    </row>
    <row r="1003" spans="1:11" x14ac:dyDescent="0.3">
      <c r="A1003">
        <v>2026</v>
      </c>
      <c r="B1003">
        <v>1</v>
      </c>
      <c r="C1003" t="s">
        <v>291</v>
      </c>
      <c r="D1003" t="s">
        <v>292</v>
      </c>
      <c r="E1003" t="str">
        <f>TEXT(28739553000180,"00000000000000")</f>
        <v>28739553000180</v>
      </c>
      <c r="F1003" t="s">
        <v>643</v>
      </c>
      <c r="G1003" t="s">
        <v>14</v>
      </c>
      <c r="H1003">
        <v>32080018</v>
      </c>
      <c r="I1003" t="s">
        <v>680</v>
      </c>
      <c r="J1003">
        <v>1</v>
      </c>
      <c r="K1003">
        <v>31.86</v>
      </c>
    </row>
    <row r="1004" spans="1:11" x14ac:dyDescent="0.3">
      <c r="A1004">
        <v>2026</v>
      </c>
      <c r="B1004">
        <v>1</v>
      </c>
      <c r="C1004" t="s">
        <v>291</v>
      </c>
      <c r="D1004" t="s">
        <v>292</v>
      </c>
      <c r="E1004" t="str">
        <f>TEXT(28739553000180,"00000000000000")</f>
        <v>28739553000180</v>
      </c>
      <c r="F1004" t="s">
        <v>643</v>
      </c>
      <c r="G1004" t="s">
        <v>14</v>
      </c>
      <c r="H1004">
        <v>32100159</v>
      </c>
      <c r="I1004" t="s">
        <v>681</v>
      </c>
      <c r="J1004">
        <v>14</v>
      </c>
      <c r="K1004">
        <v>1098.71</v>
      </c>
    </row>
    <row r="1005" spans="1:11" x14ac:dyDescent="0.3">
      <c r="A1005">
        <v>2026</v>
      </c>
      <c r="B1005">
        <v>1</v>
      </c>
      <c r="C1005" t="s">
        <v>291</v>
      </c>
      <c r="D1005" t="s">
        <v>292</v>
      </c>
      <c r="E1005" t="str">
        <f>TEXT(28739553000180,"00000000000000")</f>
        <v>28739553000180</v>
      </c>
      <c r="F1005" t="s">
        <v>643</v>
      </c>
      <c r="G1005" t="s">
        <v>14</v>
      </c>
      <c r="H1005">
        <v>32110022</v>
      </c>
      <c r="I1005" t="s">
        <v>682</v>
      </c>
      <c r="J1005">
        <v>1</v>
      </c>
      <c r="K1005">
        <v>49.5</v>
      </c>
    </row>
    <row r="1006" spans="1:11" x14ac:dyDescent="0.3">
      <c r="A1006">
        <v>2026</v>
      </c>
      <c r="B1006">
        <v>1</v>
      </c>
      <c r="C1006" t="s">
        <v>291</v>
      </c>
      <c r="D1006" t="s">
        <v>292</v>
      </c>
      <c r="E1006" t="str">
        <f>TEXT(28739553000180,"00000000000000")</f>
        <v>28739553000180</v>
      </c>
      <c r="F1006" t="s">
        <v>643</v>
      </c>
      <c r="G1006" t="s">
        <v>14</v>
      </c>
      <c r="H1006">
        <v>32120052</v>
      </c>
      <c r="I1006" t="s">
        <v>683</v>
      </c>
      <c r="J1006">
        <v>1</v>
      </c>
      <c r="K1006">
        <v>122.5</v>
      </c>
    </row>
    <row r="1007" spans="1:11" x14ac:dyDescent="0.3">
      <c r="A1007">
        <v>2026</v>
      </c>
      <c r="B1007">
        <v>1</v>
      </c>
      <c r="C1007" t="s">
        <v>291</v>
      </c>
      <c r="D1007" t="s">
        <v>292</v>
      </c>
      <c r="E1007" t="str">
        <f>TEXT(28739553000180,"00000000000000")</f>
        <v>28739553000180</v>
      </c>
      <c r="F1007" t="s">
        <v>643</v>
      </c>
      <c r="G1007" t="s">
        <v>14</v>
      </c>
      <c r="H1007">
        <v>32120133</v>
      </c>
      <c r="I1007" t="s">
        <v>684</v>
      </c>
      <c r="J1007">
        <v>2</v>
      </c>
      <c r="K1007">
        <v>797.92</v>
      </c>
    </row>
    <row r="1008" spans="1:11" x14ac:dyDescent="0.3">
      <c r="A1008">
        <v>2026</v>
      </c>
      <c r="B1008">
        <v>1</v>
      </c>
      <c r="C1008" t="s">
        <v>291</v>
      </c>
      <c r="D1008" t="s">
        <v>292</v>
      </c>
      <c r="E1008" t="str">
        <f>TEXT(28739553000180,"00000000000000")</f>
        <v>28739553000180</v>
      </c>
      <c r="F1008" t="s">
        <v>643</v>
      </c>
      <c r="G1008" t="s">
        <v>14</v>
      </c>
      <c r="H1008">
        <v>39030156</v>
      </c>
      <c r="I1008" t="s">
        <v>685</v>
      </c>
      <c r="J1008">
        <v>1</v>
      </c>
      <c r="K1008">
        <v>221.53</v>
      </c>
    </row>
    <row r="1009" spans="1:11" x14ac:dyDescent="0.3">
      <c r="A1009">
        <v>2026</v>
      </c>
      <c r="B1009">
        <v>1</v>
      </c>
      <c r="C1009" t="s">
        <v>291</v>
      </c>
      <c r="D1009" t="s">
        <v>292</v>
      </c>
      <c r="E1009" t="str">
        <f>TEXT(28739553000180,"00000000000000")</f>
        <v>28739553000180</v>
      </c>
      <c r="F1009" t="s">
        <v>643</v>
      </c>
      <c r="G1009" t="s">
        <v>14</v>
      </c>
      <c r="H1009">
        <v>39030164</v>
      </c>
      <c r="I1009" t="s">
        <v>686</v>
      </c>
      <c r="J1009">
        <v>3</v>
      </c>
      <c r="K1009">
        <v>690</v>
      </c>
    </row>
    <row r="1010" spans="1:11" x14ac:dyDescent="0.3">
      <c r="A1010">
        <v>2026</v>
      </c>
      <c r="B1010">
        <v>1</v>
      </c>
      <c r="C1010" t="s">
        <v>291</v>
      </c>
      <c r="D1010" t="s">
        <v>292</v>
      </c>
      <c r="E1010" t="str">
        <f>TEXT(28739553000180,"00000000000000")</f>
        <v>28739553000180</v>
      </c>
      <c r="F1010" t="s">
        <v>643</v>
      </c>
      <c r="G1010" t="s">
        <v>14</v>
      </c>
      <c r="H1010">
        <v>39030229</v>
      </c>
      <c r="I1010" t="s">
        <v>687</v>
      </c>
      <c r="J1010">
        <v>2</v>
      </c>
      <c r="K1010">
        <v>260</v>
      </c>
    </row>
    <row r="1011" spans="1:11" x14ac:dyDescent="0.3">
      <c r="A1011">
        <v>2026</v>
      </c>
      <c r="B1011">
        <v>1</v>
      </c>
      <c r="C1011" t="s">
        <v>291</v>
      </c>
      <c r="D1011" t="s">
        <v>292</v>
      </c>
      <c r="E1011" t="str">
        <f>TEXT(28739553000180,"00000000000000")</f>
        <v>28739553000180</v>
      </c>
      <c r="F1011" t="s">
        <v>643</v>
      </c>
      <c r="G1011" t="s">
        <v>14</v>
      </c>
      <c r="H1011">
        <v>39040321</v>
      </c>
      <c r="I1011" t="s">
        <v>688</v>
      </c>
      <c r="J1011">
        <v>3</v>
      </c>
      <c r="K1011">
        <v>914.55</v>
      </c>
    </row>
    <row r="1012" spans="1:11" x14ac:dyDescent="0.3">
      <c r="A1012">
        <v>2026</v>
      </c>
      <c r="B1012">
        <v>1</v>
      </c>
      <c r="C1012" t="s">
        <v>291</v>
      </c>
      <c r="D1012" t="s">
        <v>292</v>
      </c>
      <c r="E1012" t="str">
        <f>TEXT(28739553000180,"00000000000000")</f>
        <v>28739553000180</v>
      </c>
      <c r="F1012" t="s">
        <v>643</v>
      </c>
      <c r="G1012" t="s">
        <v>14</v>
      </c>
      <c r="H1012">
        <v>40090027</v>
      </c>
      <c r="I1012" t="s">
        <v>689</v>
      </c>
      <c r="J1012">
        <v>3</v>
      </c>
      <c r="K1012">
        <v>3972.66</v>
      </c>
    </row>
    <row r="1013" spans="1:11" x14ac:dyDescent="0.3">
      <c r="A1013">
        <v>2026</v>
      </c>
      <c r="B1013">
        <v>1</v>
      </c>
      <c r="C1013" t="s">
        <v>291</v>
      </c>
      <c r="D1013" t="s">
        <v>292</v>
      </c>
      <c r="E1013" t="str">
        <f>TEXT(28739553000180,"00000000000000")</f>
        <v>28739553000180</v>
      </c>
      <c r="F1013" t="s">
        <v>643</v>
      </c>
      <c r="G1013" t="s">
        <v>14</v>
      </c>
      <c r="H1013">
        <v>41110064</v>
      </c>
      <c r="I1013" t="s">
        <v>690</v>
      </c>
      <c r="J1013">
        <v>7</v>
      </c>
      <c r="K1013">
        <v>975.51</v>
      </c>
    </row>
    <row r="1014" spans="1:11" x14ac:dyDescent="0.3">
      <c r="A1014">
        <v>2026</v>
      </c>
      <c r="B1014">
        <v>1</v>
      </c>
      <c r="C1014" t="s">
        <v>291</v>
      </c>
      <c r="D1014" t="s">
        <v>292</v>
      </c>
      <c r="E1014" t="str">
        <f>TEXT(28739553000180,"00000000000000")</f>
        <v>28739553000180</v>
      </c>
      <c r="F1014" t="s">
        <v>643</v>
      </c>
      <c r="G1014" t="s">
        <v>14</v>
      </c>
      <c r="H1014">
        <v>48030163</v>
      </c>
      <c r="I1014" t="s">
        <v>691</v>
      </c>
      <c r="J1014">
        <v>3</v>
      </c>
      <c r="K1014">
        <v>208.89</v>
      </c>
    </row>
    <row r="1015" spans="1:11" x14ac:dyDescent="0.3">
      <c r="A1015">
        <v>2026</v>
      </c>
      <c r="B1015">
        <v>1</v>
      </c>
      <c r="C1015" t="s">
        <v>291</v>
      </c>
      <c r="D1015" t="s">
        <v>292</v>
      </c>
      <c r="E1015" t="str">
        <f>TEXT(28739553000180,"00000000000000")</f>
        <v>28739553000180</v>
      </c>
      <c r="F1015" t="s">
        <v>643</v>
      </c>
      <c r="G1015" t="s">
        <v>14</v>
      </c>
      <c r="H1015">
        <v>52110060</v>
      </c>
      <c r="I1015" t="s">
        <v>692</v>
      </c>
      <c r="J1015">
        <v>5</v>
      </c>
      <c r="K1015">
        <v>283.58</v>
      </c>
    </row>
    <row r="1016" spans="1:11" x14ac:dyDescent="0.3">
      <c r="A1016">
        <v>2026</v>
      </c>
      <c r="B1016">
        <v>1</v>
      </c>
      <c r="C1016" t="s">
        <v>291</v>
      </c>
      <c r="D1016" t="s">
        <v>292</v>
      </c>
      <c r="E1016" t="str">
        <f>TEXT(28739553000180,"00000000000000")</f>
        <v>28739553000180</v>
      </c>
      <c r="F1016" t="s">
        <v>643</v>
      </c>
      <c r="G1016" t="s">
        <v>14</v>
      </c>
      <c r="H1016">
        <v>52110214</v>
      </c>
      <c r="I1016" t="s">
        <v>693</v>
      </c>
      <c r="J1016">
        <v>3</v>
      </c>
      <c r="K1016">
        <v>612</v>
      </c>
    </row>
    <row r="1017" spans="1:11" x14ac:dyDescent="0.3">
      <c r="A1017">
        <v>2026</v>
      </c>
      <c r="B1017">
        <v>1</v>
      </c>
      <c r="C1017" t="s">
        <v>291</v>
      </c>
      <c r="D1017" t="s">
        <v>292</v>
      </c>
      <c r="E1017" t="str">
        <f>TEXT(28739553000180,"00000000000000")</f>
        <v>28739553000180</v>
      </c>
      <c r="F1017" t="s">
        <v>643</v>
      </c>
      <c r="G1017" t="s">
        <v>14</v>
      </c>
      <c r="H1017">
        <v>52120104</v>
      </c>
      <c r="I1017" t="s">
        <v>694</v>
      </c>
      <c r="J1017">
        <v>3</v>
      </c>
      <c r="K1017">
        <v>455.76</v>
      </c>
    </row>
    <row r="1018" spans="1:11" x14ac:dyDescent="0.3">
      <c r="A1018">
        <v>2026</v>
      </c>
      <c r="B1018">
        <v>1</v>
      </c>
      <c r="C1018" t="s">
        <v>291</v>
      </c>
      <c r="D1018" t="s">
        <v>292</v>
      </c>
      <c r="E1018" t="str">
        <f>TEXT(28739553000180,"00000000000000")</f>
        <v>28739553000180</v>
      </c>
      <c r="F1018" t="s">
        <v>643</v>
      </c>
      <c r="G1018" t="s">
        <v>14</v>
      </c>
      <c r="H1018">
        <v>52140253</v>
      </c>
      <c r="I1018" t="s">
        <v>695</v>
      </c>
      <c r="J1018">
        <v>3</v>
      </c>
      <c r="K1018">
        <v>322.83</v>
      </c>
    </row>
    <row r="1019" spans="1:11" x14ac:dyDescent="0.3">
      <c r="A1019">
        <v>2026</v>
      </c>
      <c r="B1019">
        <v>1</v>
      </c>
      <c r="C1019" t="s">
        <v>291</v>
      </c>
      <c r="D1019" t="s">
        <v>292</v>
      </c>
      <c r="E1019" t="str">
        <f>TEXT(28739553000180,"00000000000000")</f>
        <v>28739553000180</v>
      </c>
      <c r="F1019" t="s">
        <v>643</v>
      </c>
      <c r="G1019" t="s">
        <v>14</v>
      </c>
      <c r="H1019">
        <v>99000044</v>
      </c>
      <c r="I1019" t="s">
        <v>696</v>
      </c>
      <c r="J1019">
        <v>2</v>
      </c>
      <c r="K1019">
        <v>220</v>
      </c>
    </row>
    <row r="1020" spans="1:11" x14ac:dyDescent="0.3">
      <c r="A1020">
        <v>2026</v>
      </c>
      <c r="B1020">
        <v>1</v>
      </c>
      <c r="C1020" t="s">
        <v>291</v>
      </c>
      <c r="D1020" t="s">
        <v>292</v>
      </c>
      <c r="E1020" t="str">
        <f>TEXT(28739553000180,"00000000000000")</f>
        <v>28739553000180</v>
      </c>
      <c r="F1020" t="s">
        <v>643</v>
      </c>
      <c r="G1020" t="s">
        <v>14</v>
      </c>
      <c r="H1020">
        <v>99400014</v>
      </c>
      <c r="I1020" t="s">
        <v>697</v>
      </c>
      <c r="J1020">
        <v>1</v>
      </c>
      <c r="K1020">
        <v>3560.46</v>
      </c>
    </row>
    <row r="1021" spans="1:11" x14ac:dyDescent="0.3">
      <c r="A1021">
        <v>2026</v>
      </c>
      <c r="B1021">
        <v>1</v>
      </c>
      <c r="C1021" t="s">
        <v>291</v>
      </c>
      <c r="D1021" t="s">
        <v>292</v>
      </c>
      <c r="E1021" t="str">
        <f>TEXT(28739553000180,"00000000000000")</f>
        <v>28739553000180</v>
      </c>
      <c r="F1021" t="s">
        <v>643</v>
      </c>
      <c r="G1021" t="s">
        <v>14</v>
      </c>
      <c r="H1021">
        <v>99400049</v>
      </c>
      <c r="I1021" t="s">
        <v>698</v>
      </c>
      <c r="J1021">
        <v>4</v>
      </c>
      <c r="K1021">
        <v>14000</v>
      </c>
    </row>
    <row r="1022" spans="1:11" x14ac:dyDescent="0.3">
      <c r="A1022">
        <v>2026</v>
      </c>
      <c r="B1022">
        <v>1</v>
      </c>
      <c r="C1022" t="s">
        <v>291</v>
      </c>
      <c r="D1022" t="s">
        <v>292</v>
      </c>
      <c r="E1022" t="str">
        <f>TEXT(28739553000180,"00000000000000")</f>
        <v>28739553000180</v>
      </c>
      <c r="F1022" t="s">
        <v>643</v>
      </c>
      <c r="G1022" t="s">
        <v>14</v>
      </c>
      <c r="H1022">
        <v>99400086</v>
      </c>
      <c r="I1022" t="s">
        <v>699</v>
      </c>
      <c r="J1022">
        <v>1</v>
      </c>
      <c r="K1022">
        <v>12900</v>
      </c>
    </row>
    <row r="1023" spans="1:11" x14ac:dyDescent="0.3">
      <c r="A1023">
        <v>2026</v>
      </c>
      <c r="B1023">
        <v>1</v>
      </c>
      <c r="C1023" t="s">
        <v>291</v>
      </c>
      <c r="D1023" t="s">
        <v>292</v>
      </c>
      <c r="E1023" t="str">
        <f>TEXT(28739553000180,"00000000000000")</f>
        <v>28739553000180</v>
      </c>
      <c r="F1023" t="s">
        <v>643</v>
      </c>
      <c r="G1023" t="s">
        <v>173</v>
      </c>
      <c r="H1023">
        <v>9417</v>
      </c>
      <c r="I1023" t="s">
        <v>700</v>
      </c>
      <c r="J1023">
        <v>17</v>
      </c>
      <c r="K1023">
        <v>158.94999999999999</v>
      </c>
    </row>
    <row r="1024" spans="1:11" x14ac:dyDescent="0.3">
      <c r="A1024">
        <v>2026</v>
      </c>
      <c r="B1024">
        <v>1</v>
      </c>
      <c r="C1024" t="s">
        <v>291</v>
      </c>
      <c r="D1024" t="s">
        <v>292</v>
      </c>
      <c r="E1024" t="str">
        <f>TEXT(28739553000180,"00000000000000")</f>
        <v>28739553000180</v>
      </c>
      <c r="F1024" t="s">
        <v>643</v>
      </c>
      <c r="G1024" t="s">
        <v>173</v>
      </c>
      <c r="H1024">
        <v>62532</v>
      </c>
      <c r="I1024" t="s">
        <v>701</v>
      </c>
      <c r="J1024">
        <v>3</v>
      </c>
      <c r="K1024">
        <v>285.39</v>
      </c>
    </row>
    <row r="1025" spans="1:11" x14ac:dyDescent="0.3">
      <c r="A1025">
        <v>2026</v>
      </c>
      <c r="B1025">
        <v>1</v>
      </c>
      <c r="C1025" t="s">
        <v>291</v>
      </c>
      <c r="D1025" t="s">
        <v>292</v>
      </c>
      <c r="E1025" t="str">
        <f>TEXT(28739553000180,"00000000000000")</f>
        <v>28739553000180</v>
      </c>
      <c r="F1025" t="s">
        <v>643</v>
      </c>
      <c r="G1025" t="s">
        <v>173</v>
      </c>
      <c r="H1025">
        <v>162166</v>
      </c>
      <c r="I1025" t="s">
        <v>702</v>
      </c>
      <c r="J1025">
        <v>27</v>
      </c>
      <c r="K1025">
        <v>459.81</v>
      </c>
    </row>
    <row r="1026" spans="1:11" x14ac:dyDescent="0.3">
      <c r="A1026">
        <v>2026</v>
      </c>
      <c r="B1026">
        <v>1</v>
      </c>
      <c r="C1026" t="s">
        <v>291</v>
      </c>
      <c r="D1026" t="s">
        <v>292</v>
      </c>
      <c r="E1026" t="str">
        <f>TEXT(28739553000180,"00000000000000")</f>
        <v>28739553000180</v>
      </c>
      <c r="F1026" t="s">
        <v>643</v>
      </c>
      <c r="G1026" t="s">
        <v>173</v>
      </c>
      <c r="H1026">
        <v>167431</v>
      </c>
      <c r="I1026" t="s">
        <v>703</v>
      </c>
      <c r="J1026">
        <v>1</v>
      </c>
      <c r="K1026">
        <v>662.5</v>
      </c>
    </row>
    <row r="1027" spans="1:11" x14ac:dyDescent="0.3">
      <c r="A1027">
        <v>2026</v>
      </c>
      <c r="B1027">
        <v>1</v>
      </c>
      <c r="C1027" t="s">
        <v>291</v>
      </c>
      <c r="D1027" t="s">
        <v>292</v>
      </c>
      <c r="E1027" t="str">
        <f>TEXT(28739553000180,"00000000000000")</f>
        <v>28739553000180</v>
      </c>
      <c r="F1027" t="s">
        <v>643</v>
      </c>
      <c r="G1027" t="s">
        <v>173</v>
      </c>
      <c r="H1027">
        <v>169725</v>
      </c>
      <c r="I1027" t="s">
        <v>704</v>
      </c>
      <c r="J1027">
        <v>300</v>
      </c>
      <c r="K1027">
        <v>18</v>
      </c>
    </row>
    <row r="1028" spans="1:11" x14ac:dyDescent="0.3">
      <c r="A1028">
        <v>2026</v>
      </c>
      <c r="B1028">
        <v>1</v>
      </c>
      <c r="C1028" t="s">
        <v>291</v>
      </c>
      <c r="D1028" t="s">
        <v>292</v>
      </c>
      <c r="E1028" t="str">
        <f>TEXT(28739553000180,"00000000000000")</f>
        <v>28739553000180</v>
      </c>
      <c r="F1028" t="s">
        <v>643</v>
      </c>
      <c r="G1028" t="s">
        <v>173</v>
      </c>
      <c r="H1028">
        <v>169726</v>
      </c>
      <c r="I1028" t="s">
        <v>705</v>
      </c>
      <c r="J1028">
        <v>420</v>
      </c>
      <c r="K1028">
        <v>58.8</v>
      </c>
    </row>
    <row r="1029" spans="1:11" x14ac:dyDescent="0.3">
      <c r="A1029">
        <v>2026</v>
      </c>
      <c r="B1029">
        <v>1</v>
      </c>
      <c r="C1029" t="s">
        <v>291</v>
      </c>
      <c r="D1029" t="s">
        <v>292</v>
      </c>
      <c r="E1029" t="str">
        <f>TEXT(28739553000180,"00000000000000")</f>
        <v>28739553000180</v>
      </c>
      <c r="F1029" t="s">
        <v>643</v>
      </c>
      <c r="G1029" t="s">
        <v>173</v>
      </c>
      <c r="H1029">
        <v>318985</v>
      </c>
      <c r="I1029" t="s">
        <v>706</v>
      </c>
      <c r="J1029">
        <v>250</v>
      </c>
      <c r="K1029">
        <v>1137.5</v>
      </c>
    </row>
    <row r="1030" spans="1:11" x14ac:dyDescent="0.3">
      <c r="A1030">
        <v>2026</v>
      </c>
      <c r="B1030">
        <v>1</v>
      </c>
      <c r="C1030" t="s">
        <v>291</v>
      </c>
      <c r="D1030" t="s">
        <v>292</v>
      </c>
      <c r="E1030" t="str">
        <f>TEXT(28739553000180,"00000000000000")</f>
        <v>28739553000180</v>
      </c>
      <c r="F1030" t="s">
        <v>643</v>
      </c>
      <c r="G1030" t="s">
        <v>173</v>
      </c>
      <c r="H1030">
        <v>339174</v>
      </c>
      <c r="I1030" t="s">
        <v>707</v>
      </c>
      <c r="J1030">
        <v>330</v>
      </c>
      <c r="K1030">
        <v>861.3</v>
      </c>
    </row>
    <row r="1031" spans="1:11" x14ac:dyDescent="0.3">
      <c r="A1031">
        <v>2026</v>
      </c>
      <c r="B1031">
        <v>1</v>
      </c>
      <c r="C1031" t="s">
        <v>291</v>
      </c>
      <c r="D1031" t="s">
        <v>292</v>
      </c>
      <c r="E1031" t="str">
        <f>TEXT(28739553000180,"00000000000000")</f>
        <v>28739553000180</v>
      </c>
      <c r="F1031" t="s">
        <v>643</v>
      </c>
      <c r="G1031" t="s">
        <v>173</v>
      </c>
      <c r="H1031">
        <v>1810072</v>
      </c>
      <c r="I1031" t="s">
        <v>708</v>
      </c>
      <c r="J1031">
        <v>4</v>
      </c>
      <c r="K1031">
        <v>74.92</v>
      </c>
    </row>
    <row r="1032" spans="1:11" x14ac:dyDescent="0.3">
      <c r="A1032">
        <v>2026</v>
      </c>
      <c r="B1032">
        <v>1</v>
      </c>
      <c r="C1032" t="s">
        <v>291</v>
      </c>
      <c r="D1032" t="s">
        <v>292</v>
      </c>
      <c r="E1032" t="str">
        <f>TEXT(28739553000180,"00000000000000")</f>
        <v>28739553000180</v>
      </c>
      <c r="F1032" t="s">
        <v>643</v>
      </c>
      <c r="G1032" t="s">
        <v>173</v>
      </c>
      <c r="H1032">
        <v>1905060</v>
      </c>
      <c r="I1032" t="s">
        <v>709</v>
      </c>
      <c r="J1032">
        <v>350</v>
      </c>
      <c r="K1032">
        <v>3.5</v>
      </c>
    </row>
    <row r="1033" spans="1:11" x14ac:dyDescent="0.3">
      <c r="A1033">
        <v>2026</v>
      </c>
      <c r="B1033">
        <v>1</v>
      </c>
      <c r="C1033" t="s">
        <v>291</v>
      </c>
      <c r="D1033" t="s">
        <v>292</v>
      </c>
      <c r="E1033" t="str">
        <f>TEXT(28739553000180,"00000000000000")</f>
        <v>28739553000180</v>
      </c>
      <c r="F1033" t="s">
        <v>643</v>
      </c>
      <c r="G1033" t="s">
        <v>173</v>
      </c>
      <c r="H1033">
        <v>70139024</v>
      </c>
      <c r="I1033" t="s">
        <v>710</v>
      </c>
      <c r="J1033">
        <v>2</v>
      </c>
      <c r="K1033">
        <v>65.92</v>
      </c>
    </row>
    <row r="1034" spans="1:11" x14ac:dyDescent="0.3">
      <c r="A1034">
        <v>2026</v>
      </c>
      <c r="B1034">
        <v>1</v>
      </c>
      <c r="C1034" t="s">
        <v>291</v>
      </c>
      <c r="D1034" t="s">
        <v>292</v>
      </c>
      <c r="E1034" t="str">
        <f>TEXT(28739553000180,"00000000000000")</f>
        <v>28739553000180</v>
      </c>
      <c r="F1034" t="s">
        <v>643</v>
      </c>
      <c r="G1034" t="s">
        <v>173</v>
      </c>
      <c r="H1034">
        <v>70223769</v>
      </c>
      <c r="I1034" t="s">
        <v>711</v>
      </c>
      <c r="J1034">
        <v>30</v>
      </c>
      <c r="K1034">
        <v>1572</v>
      </c>
    </row>
    <row r="1035" spans="1:11" x14ac:dyDescent="0.3">
      <c r="A1035">
        <v>2026</v>
      </c>
      <c r="B1035">
        <v>1</v>
      </c>
      <c r="C1035" t="s">
        <v>291</v>
      </c>
      <c r="D1035" t="s">
        <v>292</v>
      </c>
      <c r="E1035" t="str">
        <f>TEXT(28739553000180,"00000000000000")</f>
        <v>28739553000180</v>
      </c>
      <c r="F1035" t="s">
        <v>643</v>
      </c>
      <c r="G1035" t="s">
        <v>173</v>
      </c>
      <c r="H1035">
        <v>70705321</v>
      </c>
      <c r="I1035" t="s">
        <v>712</v>
      </c>
      <c r="J1035">
        <v>14</v>
      </c>
      <c r="K1035">
        <v>23.24</v>
      </c>
    </row>
    <row r="1036" spans="1:11" x14ac:dyDescent="0.3">
      <c r="A1036">
        <v>2026</v>
      </c>
      <c r="B1036">
        <v>1</v>
      </c>
      <c r="C1036" t="s">
        <v>291</v>
      </c>
      <c r="D1036" t="s">
        <v>292</v>
      </c>
      <c r="E1036" t="str">
        <f>TEXT(28739553000180,"00000000000000")</f>
        <v>28739553000180</v>
      </c>
      <c r="F1036" t="s">
        <v>643</v>
      </c>
      <c r="G1036" t="s">
        <v>173</v>
      </c>
      <c r="H1036">
        <v>70705330</v>
      </c>
      <c r="I1036" t="s">
        <v>713</v>
      </c>
      <c r="J1036">
        <v>933</v>
      </c>
      <c r="K1036">
        <v>7006.83</v>
      </c>
    </row>
    <row r="1037" spans="1:11" x14ac:dyDescent="0.3">
      <c r="A1037">
        <v>2026</v>
      </c>
      <c r="B1037">
        <v>1</v>
      </c>
      <c r="C1037" t="s">
        <v>291</v>
      </c>
      <c r="D1037" t="s">
        <v>292</v>
      </c>
      <c r="E1037" t="str">
        <f>TEXT(28739553000180,"00000000000000")</f>
        <v>28739553000180</v>
      </c>
      <c r="F1037" t="s">
        <v>643</v>
      </c>
      <c r="G1037" t="s">
        <v>173</v>
      </c>
      <c r="H1037">
        <v>70714126</v>
      </c>
      <c r="I1037" t="s">
        <v>714</v>
      </c>
      <c r="J1037">
        <v>3</v>
      </c>
      <c r="K1037">
        <v>90.09</v>
      </c>
    </row>
    <row r="1038" spans="1:11" x14ac:dyDescent="0.3">
      <c r="A1038">
        <v>2026</v>
      </c>
      <c r="B1038">
        <v>1</v>
      </c>
      <c r="C1038" t="s">
        <v>291</v>
      </c>
      <c r="D1038" t="s">
        <v>292</v>
      </c>
      <c r="E1038" t="str">
        <f>TEXT(28739553000180,"00000000000000")</f>
        <v>28739553000180</v>
      </c>
      <c r="F1038" t="s">
        <v>643</v>
      </c>
      <c r="G1038" t="s">
        <v>173</v>
      </c>
      <c r="H1038">
        <v>70714401</v>
      </c>
      <c r="I1038" t="s">
        <v>715</v>
      </c>
      <c r="J1038">
        <v>1</v>
      </c>
      <c r="K1038">
        <v>30.03</v>
      </c>
    </row>
    <row r="1039" spans="1:11" x14ac:dyDescent="0.3">
      <c r="A1039">
        <v>2026</v>
      </c>
      <c r="B1039">
        <v>1</v>
      </c>
      <c r="C1039" t="s">
        <v>291</v>
      </c>
      <c r="D1039" t="s">
        <v>292</v>
      </c>
      <c r="E1039" t="str">
        <f>TEXT(28739553000180,"00000000000000")</f>
        <v>28739553000180</v>
      </c>
      <c r="F1039" t="s">
        <v>643</v>
      </c>
      <c r="G1039" t="s">
        <v>173</v>
      </c>
      <c r="H1039">
        <v>70765553</v>
      </c>
      <c r="I1039" t="s">
        <v>716</v>
      </c>
      <c r="J1039">
        <v>3</v>
      </c>
      <c r="K1039">
        <v>187.98</v>
      </c>
    </row>
    <row r="1040" spans="1:11" x14ac:dyDescent="0.3">
      <c r="A1040">
        <v>2026</v>
      </c>
      <c r="B1040">
        <v>1</v>
      </c>
      <c r="C1040" t="s">
        <v>291</v>
      </c>
      <c r="D1040" t="s">
        <v>292</v>
      </c>
      <c r="E1040" t="str">
        <f>TEXT(28739553000180,"00000000000000")</f>
        <v>28739553000180</v>
      </c>
      <c r="F1040" t="s">
        <v>643</v>
      </c>
      <c r="G1040" t="s">
        <v>173</v>
      </c>
      <c r="H1040">
        <v>70799172</v>
      </c>
      <c r="I1040" t="s">
        <v>717</v>
      </c>
      <c r="J1040">
        <v>600</v>
      </c>
      <c r="K1040">
        <v>108</v>
      </c>
    </row>
    <row r="1041" spans="1:11" x14ac:dyDescent="0.3">
      <c r="A1041">
        <v>2026</v>
      </c>
      <c r="B1041">
        <v>1</v>
      </c>
      <c r="C1041" t="s">
        <v>291</v>
      </c>
      <c r="D1041" t="s">
        <v>292</v>
      </c>
      <c r="E1041" t="str">
        <f>TEXT(28739553000180,"00000000000000")</f>
        <v>28739553000180</v>
      </c>
      <c r="F1041" t="s">
        <v>643</v>
      </c>
      <c r="G1041" t="s">
        <v>173</v>
      </c>
      <c r="H1041">
        <v>70828440</v>
      </c>
      <c r="I1041" t="s">
        <v>718</v>
      </c>
      <c r="J1041">
        <v>3</v>
      </c>
      <c r="K1041">
        <v>750.24</v>
      </c>
    </row>
    <row r="1042" spans="1:11" x14ac:dyDescent="0.3">
      <c r="A1042">
        <v>2026</v>
      </c>
      <c r="B1042">
        <v>1</v>
      </c>
      <c r="C1042" t="s">
        <v>291</v>
      </c>
      <c r="D1042" t="s">
        <v>292</v>
      </c>
      <c r="E1042" t="str">
        <f>TEXT(28739553000180,"00000000000000")</f>
        <v>28739553000180</v>
      </c>
      <c r="F1042" t="s">
        <v>643</v>
      </c>
      <c r="G1042" t="s">
        <v>173</v>
      </c>
      <c r="H1042">
        <v>70852308</v>
      </c>
      <c r="I1042" t="s">
        <v>719</v>
      </c>
      <c r="J1042">
        <v>285</v>
      </c>
      <c r="K1042">
        <v>3534</v>
      </c>
    </row>
    <row r="1043" spans="1:11" x14ac:dyDescent="0.3">
      <c r="A1043">
        <v>2026</v>
      </c>
      <c r="B1043">
        <v>1</v>
      </c>
      <c r="C1043" t="s">
        <v>291</v>
      </c>
      <c r="D1043" t="s">
        <v>292</v>
      </c>
      <c r="E1043" t="str">
        <f>TEXT(28739553000180,"00000000000000")</f>
        <v>28739553000180</v>
      </c>
      <c r="F1043" t="s">
        <v>643</v>
      </c>
      <c r="G1043" t="s">
        <v>173</v>
      </c>
      <c r="H1043">
        <v>70852570</v>
      </c>
      <c r="I1043" t="s">
        <v>720</v>
      </c>
      <c r="J1043">
        <v>12</v>
      </c>
      <c r="K1043">
        <v>199.56</v>
      </c>
    </row>
    <row r="1044" spans="1:11" x14ac:dyDescent="0.3">
      <c r="A1044">
        <v>2026</v>
      </c>
      <c r="B1044">
        <v>1</v>
      </c>
      <c r="C1044" t="s">
        <v>291</v>
      </c>
      <c r="D1044" t="s">
        <v>292</v>
      </c>
      <c r="E1044" t="str">
        <f>TEXT(28739553000180,"00000000000000")</f>
        <v>28739553000180</v>
      </c>
      <c r="F1044" t="s">
        <v>643</v>
      </c>
      <c r="G1044" t="s">
        <v>173</v>
      </c>
      <c r="H1044">
        <v>71587527</v>
      </c>
      <c r="I1044" t="s">
        <v>721</v>
      </c>
      <c r="J1044">
        <v>410</v>
      </c>
      <c r="K1044">
        <v>4694.5</v>
      </c>
    </row>
    <row r="1045" spans="1:11" x14ac:dyDescent="0.3">
      <c r="A1045">
        <v>2026</v>
      </c>
      <c r="B1045">
        <v>1</v>
      </c>
      <c r="C1045" t="s">
        <v>291</v>
      </c>
      <c r="D1045" t="s">
        <v>292</v>
      </c>
      <c r="E1045" t="str">
        <f>TEXT(28739553000180,"00000000000000")</f>
        <v>28739553000180</v>
      </c>
      <c r="F1045" t="s">
        <v>643</v>
      </c>
      <c r="G1045" t="s">
        <v>173</v>
      </c>
      <c r="H1045">
        <v>73217182</v>
      </c>
      <c r="I1045" t="s">
        <v>722</v>
      </c>
      <c r="J1045">
        <v>7</v>
      </c>
      <c r="K1045">
        <v>311.01</v>
      </c>
    </row>
    <row r="1046" spans="1:11" x14ac:dyDescent="0.3">
      <c r="A1046">
        <v>2026</v>
      </c>
      <c r="B1046">
        <v>1</v>
      </c>
      <c r="C1046" t="s">
        <v>291</v>
      </c>
      <c r="D1046" t="s">
        <v>292</v>
      </c>
      <c r="E1046" t="str">
        <f>TEXT(28739553000180,"00000000000000")</f>
        <v>28739553000180</v>
      </c>
      <c r="F1046" t="s">
        <v>643</v>
      </c>
      <c r="G1046" t="s">
        <v>173</v>
      </c>
      <c r="H1046">
        <v>76250156</v>
      </c>
      <c r="I1046" t="s">
        <v>723</v>
      </c>
      <c r="J1046">
        <v>25</v>
      </c>
      <c r="K1046">
        <v>1984.76</v>
      </c>
    </row>
    <row r="1047" spans="1:11" x14ac:dyDescent="0.3">
      <c r="A1047">
        <v>2026</v>
      </c>
      <c r="B1047">
        <v>1</v>
      </c>
      <c r="C1047" t="s">
        <v>291</v>
      </c>
      <c r="D1047" t="s">
        <v>292</v>
      </c>
      <c r="E1047" t="str">
        <f>TEXT(28739553000180,"00000000000000")</f>
        <v>28739553000180</v>
      </c>
      <c r="F1047" t="s">
        <v>643</v>
      </c>
      <c r="G1047" t="s">
        <v>173</v>
      </c>
      <c r="H1047">
        <v>76269663</v>
      </c>
      <c r="I1047" t="s">
        <v>724</v>
      </c>
      <c r="J1047">
        <v>5</v>
      </c>
      <c r="K1047">
        <v>266.3</v>
      </c>
    </row>
    <row r="1048" spans="1:11" x14ac:dyDescent="0.3">
      <c r="A1048">
        <v>2026</v>
      </c>
      <c r="B1048">
        <v>1</v>
      </c>
      <c r="C1048" t="s">
        <v>291</v>
      </c>
      <c r="D1048" t="s">
        <v>292</v>
      </c>
      <c r="E1048" t="str">
        <f>TEXT(28739553000180,"00000000000000")</f>
        <v>28739553000180</v>
      </c>
      <c r="F1048" t="s">
        <v>643</v>
      </c>
      <c r="G1048" t="s">
        <v>173</v>
      </c>
      <c r="H1048">
        <v>78202680</v>
      </c>
      <c r="I1048" t="s">
        <v>725</v>
      </c>
      <c r="J1048">
        <v>150</v>
      </c>
      <c r="K1048">
        <v>21.86</v>
      </c>
    </row>
    <row r="1049" spans="1:11" x14ac:dyDescent="0.3">
      <c r="A1049">
        <v>2026</v>
      </c>
      <c r="B1049">
        <v>1</v>
      </c>
      <c r="C1049" t="s">
        <v>291</v>
      </c>
      <c r="D1049" t="s">
        <v>292</v>
      </c>
      <c r="E1049" t="str">
        <f>TEXT(28739553000180,"00000000000000")</f>
        <v>28739553000180</v>
      </c>
      <c r="F1049" t="s">
        <v>643</v>
      </c>
      <c r="G1049" t="s">
        <v>173</v>
      </c>
      <c r="H1049">
        <v>78204119</v>
      </c>
      <c r="I1049" t="s">
        <v>726</v>
      </c>
      <c r="J1049">
        <v>2</v>
      </c>
      <c r="K1049">
        <v>32.880000000000003</v>
      </c>
    </row>
    <row r="1050" spans="1:11" x14ac:dyDescent="0.3">
      <c r="A1050">
        <v>2026</v>
      </c>
      <c r="B1050">
        <v>1</v>
      </c>
      <c r="C1050" t="s">
        <v>291</v>
      </c>
      <c r="D1050" t="s">
        <v>292</v>
      </c>
      <c r="E1050" t="str">
        <f>TEXT(28739553000180,"00000000000000")</f>
        <v>28739553000180</v>
      </c>
      <c r="F1050" t="s">
        <v>643</v>
      </c>
      <c r="G1050" t="s">
        <v>173</v>
      </c>
      <c r="H1050">
        <v>78204453</v>
      </c>
      <c r="I1050" t="s">
        <v>727</v>
      </c>
      <c r="J1050">
        <v>2</v>
      </c>
      <c r="K1050">
        <v>22</v>
      </c>
    </row>
    <row r="1051" spans="1:11" x14ac:dyDescent="0.3">
      <c r="A1051">
        <v>2026</v>
      </c>
      <c r="B1051">
        <v>1</v>
      </c>
      <c r="C1051" t="s">
        <v>291</v>
      </c>
      <c r="D1051" t="s">
        <v>292</v>
      </c>
      <c r="E1051" t="str">
        <f>TEXT(28739553000180,"00000000000000")</f>
        <v>28739553000180</v>
      </c>
      <c r="F1051" t="s">
        <v>643</v>
      </c>
      <c r="G1051" t="s">
        <v>173</v>
      </c>
      <c r="H1051">
        <v>78208149</v>
      </c>
      <c r="I1051" t="s">
        <v>728</v>
      </c>
      <c r="J1051">
        <v>14</v>
      </c>
      <c r="K1051">
        <v>69.3</v>
      </c>
    </row>
    <row r="1052" spans="1:11" x14ac:dyDescent="0.3">
      <c r="A1052">
        <v>2026</v>
      </c>
      <c r="B1052">
        <v>1</v>
      </c>
      <c r="C1052" t="s">
        <v>291</v>
      </c>
      <c r="D1052" t="s">
        <v>292</v>
      </c>
      <c r="E1052" t="str">
        <f>TEXT(28739553000180,"00000000000000")</f>
        <v>28739553000180</v>
      </c>
      <c r="F1052" t="s">
        <v>643</v>
      </c>
      <c r="G1052" t="s">
        <v>173</v>
      </c>
      <c r="H1052">
        <v>78208157</v>
      </c>
      <c r="I1052" t="s">
        <v>729</v>
      </c>
      <c r="J1052">
        <v>7</v>
      </c>
      <c r="K1052">
        <v>32.130000000000003</v>
      </c>
    </row>
    <row r="1053" spans="1:11" x14ac:dyDescent="0.3">
      <c r="A1053">
        <v>2026</v>
      </c>
      <c r="B1053">
        <v>1</v>
      </c>
      <c r="C1053" t="s">
        <v>291</v>
      </c>
      <c r="D1053" t="s">
        <v>292</v>
      </c>
      <c r="E1053" t="str">
        <f>TEXT(28739553000180,"00000000000000")</f>
        <v>28739553000180</v>
      </c>
      <c r="F1053" t="s">
        <v>643</v>
      </c>
      <c r="G1053" t="s">
        <v>173</v>
      </c>
      <c r="H1053">
        <v>78211115</v>
      </c>
      <c r="I1053" t="s">
        <v>730</v>
      </c>
      <c r="J1053">
        <v>4</v>
      </c>
      <c r="K1053">
        <v>633</v>
      </c>
    </row>
    <row r="1054" spans="1:11" x14ac:dyDescent="0.3">
      <c r="A1054">
        <v>2026</v>
      </c>
      <c r="B1054">
        <v>1</v>
      </c>
      <c r="C1054" t="s">
        <v>291</v>
      </c>
      <c r="D1054" t="s">
        <v>292</v>
      </c>
      <c r="E1054" t="str">
        <f>TEXT(28739553000180,"00000000000000")</f>
        <v>28739553000180</v>
      </c>
      <c r="F1054" t="s">
        <v>643</v>
      </c>
      <c r="G1054" t="s">
        <v>173</v>
      </c>
      <c r="H1054">
        <v>78212596</v>
      </c>
      <c r="I1054" t="s">
        <v>731</v>
      </c>
      <c r="J1054">
        <v>11</v>
      </c>
      <c r="K1054">
        <v>1100</v>
      </c>
    </row>
    <row r="1055" spans="1:11" x14ac:dyDescent="0.3">
      <c r="A1055">
        <v>2026</v>
      </c>
      <c r="B1055">
        <v>1</v>
      </c>
      <c r="C1055" t="s">
        <v>291</v>
      </c>
      <c r="D1055" t="s">
        <v>292</v>
      </c>
      <c r="E1055" t="str">
        <f>TEXT(28739553000180,"00000000000000")</f>
        <v>28739553000180</v>
      </c>
      <c r="F1055" t="s">
        <v>643</v>
      </c>
      <c r="G1055" t="s">
        <v>173</v>
      </c>
      <c r="H1055">
        <v>78212928</v>
      </c>
      <c r="I1055" t="s">
        <v>732</v>
      </c>
      <c r="J1055">
        <v>82</v>
      </c>
      <c r="K1055">
        <v>2040</v>
      </c>
    </row>
    <row r="1056" spans="1:11" x14ac:dyDescent="0.3">
      <c r="A1056">
        <v>2026</v>
      </c>
      <c r="B1056">
        <v>1</v>
      </c>
      <c r="C1056" t="s">
        <v>291</v>
      </c>
      <c r="D1056" t="s">
        <v>292</v>
      </c>
      <c r="E1056" t="str">
        <f>TEXT(28739553000180,"00000000000000")</f>
        <v>28739553000180</v>
      </c>
      <c r="F1056" t="s">
        <v>643</v>
      </c>
      <c r="G1056" t="s">
        <v>173</v>
      </c>
      <c r="H1056">
        <v>78214548</v>
      </c>
      <c r="I1056" t="s">
        <v>733</v>
      </c>
      <c r="J1056">
        <v>9</v>
      </c>
      <c r="K1056">
        <v>20.97</v>
      </c>
    </row>
    <row r="1057" spans="1:11" x14ac:dyDescent="0.3">
      <c r="A1057">
        <v>2026</v>
      </c>
      <c r="B1057">
        <v>1</v>
      </c>
      <c r="C1057" t="s">
        <v>291</v>
      </c>
      <c r="D1057" t="s">
        <v>292</v>
      </c>
      <c r="E1057" t="str">
        <f>TEXT(28739553000180,"00000000000000")</f>
        <v>28739553000180</v>
      </c>
      <c r="F1057" t="s">
        <v>643</v>
      </c>
      <c r="G1057" t="s">
        <v>173</v>
      </c>
      <c r="H1057">
        <v>78214750</v>
      </c>
      <c r="I1057" t="s">
        <v>709</v>
      </c>
      <c r="J1057">
        <v>450</v>
      </c>
      <c r="K1057">
        <v>27</v>
      </c>
    </row>
    <row r="1058" spans="1:11" x14ac:dyDescent="0.3">
      <c r="A1058">
        <v>2026</v>
      </c>
      <c r="B1058">
        <v>1</v>
      </c>
      <c r="C1058" t="s">
        <v>291</v>
      </c>
      <c r="D1058" t="s">
        <v>292</v>
      </c>
      <c r="E1058" t="str">
        <f>TEXT(28739553000180,"00000000000000")</f>
        <v>28739553000180</v>
      </c>
      <c r="F1058" t="s">
        <v>643</v>
      </c>
      <c r="G1058" t="s">
        <v>173</v>
      </c>
      <c r="H1058">
        <v>78214793</v>
      </c>
      <c r="I1058" t="s">
        <v>734</v>
      </c>
      <c r="J1058">
        <v>6</v>
      </c>
      <c r="K1058">
        <v>241.26</v>
      </c>
    </row>
    <row r="1059" spans="1:11" x14ac:dyDescent="0.3">
      <c r="A1059">
        <v>2026</v>
      </c>
      <c r="B1059">
        <v>1</v>
      </c>
      <c r="C1059" t="s">
        <v>291</v>
      </c>
      <c r="D1059" t="s">
        <v>292</v>
      </c>
      <c r="E1059" t="str">
        <f>TEXT(28739553000180,"00000000000000")</f>
        <v>28739553000180</v>
      </c>
      <c r="F1059" t="s">
        <v>643</v>
      </c>
      <c r="G1059" t="s">
        <v>173</v>
      </c>
      <c r="H1059">
        <v>78215935</v>
      </c>
      <c r="I1059" t="s">
        <v>735</v>
      </c>
      <c r="J1059">
        <v>159</v>
      </c>
      <c r="K1059">
        <v>279.83999999999997</v>
      </c>
    </row>
    <row r="1060" spans="1:11" x14ac:dyDescent="0.3">
      <c r="A1060">
        <v>2026</v>
      </c>
      <c r="B1060">
        <v>1</v>
      </c>
      <c r="C1060" t="s">
        <v>291</v>
      </c>
      <c r="D1060" t="s">
        <v>292</v>
      </c>
      <c r="E1060" t="str">
        <f>TEXT(28739553000180,"00000000000000")</f>
        <v>28739553000180</v>
      </c>
      <c r="F1060" t="s">
        <v>643</v>
      </c>
      <c r="G1060" t="s">
        <v>173</v>
      </c>
      <c r="H1060">
        <v>78218039</v>
      </c>
      <c r="I1060" t="s">
        <v>736</v>
      </c>
      <c r="J1060">
        <v>41</v>
      </c>
      <c r="K1060">
        <v>54171.25</v>
      </c>
    </row>
    <row r="1061" spans="1:11" x14ac:dyDescent="0.3">
      <c r="A1061">
        <v>2026</v>
      </c>
      <c r="B1061">
        <v>1</v>
      </c>
      <c r="C1061" t="s">
        <v>291</v>
      </c>
      <c r="D1061" t="s">
        <v>292</v>
      </c>
      <c r="E1061" t="str">
        <f>TEXT(28739553000180,"00000000000000")</f>
        <v>28739553000180</v>
      </c>
      <c r="F1061" t="s">
        <v>643</v>
      </c>
      <c r="G1061" t="s">
        <v>173</v>
      </c>
      <c r="H1061">
        <v>78225868</v>
      </c>
      <c r="I1061" t="s">
        <v>737</v>
      </c>
      <c r="J1061">
        <v>6</v>
      </c>
      <c r="K1061">
        <v>150</v>
      </c>
    </row>
    <row r="1062" spans="1:11" x14ac:dyDescent="0.3">
      <c r="A1062">
        <v>2026</v>
      </c>
      <c r="B1062">
        <v>1</v>
      </c>
      <c r="C1062" t="s">
        <v>291</v>
      </c>
      <c r="D1062" t="s">
        <v>292</v>
      </c>
      <c r="E1062" t="str">
        <f>TEXT(28739553000180,"00000000000000")</f>
        <v>28739553000180</v>
      </c>
      <c r="F1062" t="s">
        <v>643</v>
      </c>
      <c r="G1062" t="s">
        <v>173</v>
      </c>
      <c r="H1062">
        <v>78236533</v>
      </c>
      <c r="I1062" t="s">
        <v>738</v>
      </c>
      <c r="J1062">
        <v>1</v>
      </c>
      <c r="K1062">
        <v>28.46</v>
      </c>
    </row>
    <row r="1063" spans="1:11" x14ac:dyDescent="0.3">
      <c r="A1063">
        <v>2026</v>
      </c>
      <c r="B1063">
        <v>1</v>
      </c>
      <c r="C1063" t="s">
        <v>291</v>
      </c>
      <c r="D1063" t="s">
        <v>292</v>
      </c>
      <c r="E1063" t="str">
        <f>TEXT(28739553000180,"00000000000000")</f>
        <v>28739553000180</v>
      </c>
      <c r="F1063" t="s">
        <v>643</v>
      </c>
      <c r="G1063" t="s">
        <v>173</v>
      </c>
      <c r="H1063">
        <v>78277671</v>
      </c>
      <c r="I1063" t="s">
        <v>739</v>
      </c>
      <c r="J1063">
        <v>6</v>
      </c>
      <c r="K1063">
        <v>478.2</v>
      </c>
    </row>
    <row r="1064" spans="1:11" x14ac:dyDescent="0.3">
      <c r="A1064">
        <v>2026</v>
      </c>
      <c r="B1064">
        <v>1</v>
      </c>
      <c r="C1064" t="s">
        <v>291</v>
      </c>
      <c r="D1064" t="s">
        <v>292</v>
      </c>
      <c r="E1064" t="str">
        <f>TEXT(28739553000180,"00000000000000")</f>
        <v>28739553000180</v>
      </c>
      <c r="F1064" t="s">
        <v>643</v>
      </c>
      <c r="G1064" t="s">
        <v>173</v>
      </c>
      <c r="H1064">
        <v>78284430</v>
      </c>
      <c r="I1064" t="s">
        <v>740</v>
      </c>
      <c r="J1064">
        <v>1007</v>
      </c>
      <c r="K1064">
        <v>4863.8100000000004</v>
      </c>
    </row>
    <row r="1065" spans="1:11" x14ac:dyDescent="0.3">
      <c r="A1065">
        <v>2026</v>
      </c>
      <c r="B1065">
        <v>1</v>
      </c>
      <c r="C1065" t="s">
        <v>291</v>
      </c>
      <c r="D1065" t="s">
        <v>292</v>
      </c>
      <c r="E1065" t="str">
        <f>TEXT(28739553000180,"00000000000000")</f>
        <v>28739553000180</v>
      </c>
      <c r="F1065" t="s">
        <v>643</v>
      </c>
      <c r="G1065" t="s">
        <v>173</v>
      </c>
      <c r="H1065">
        <v>78287391</v>
      </c>
      <c r="I1065" t="s">
        <v>741</v>
      </c>
      <c r="J1065">
        <v>14</v>
      </c>
      <c r="K1065">
        <v>49.7</v>
      </c>
    </row>
    <row r="1066" spans="1:11" x14ac:dyDescent="0.3">
      <c r="A1066">
        <v>2026</v>
      </c>
      <c r="B1066">
        <v>1</v>
      </c>
      <c r="C1066" t="s">
        <v>291</v>
      </c>
      <c r="D1066" t="s">
        <v>292</v>
      </c>
      <c r="E1066" t="str">
        <f>TEXT(28739553000180,"00000000000000")</f>
        <v>28739553000180</v>
      </c>
      <c r="F1066" t="s">
        <v>643</v>
      </c>
      <c r="G1066" t="s">
        <v>173</v>
      </c>
      <c r="H1066">
        <v>78302609</v>
      </c>
      <c r="I1066" t="s">
        <v>742</v>
      </c>
      <c r="J1066">
        <v>10</v>
      </c>
      <c r="K1066">
        <v>150</v>
      </c>
    </row>
    <row r="1067" spans="1:11" x14ac:dyDescent="0.3">
      <c r="A1067">
        <v>2026</v>
      </c>
      <c r="B1067">
        <v>1</v>
      </c>
      <c r="C1067" t="s">
        <v>291</v>
      </c>
      <c r="D1067" t="s">
        <v>292</v>
      </c>
      <c r="E1067" t="str">
        <f>TEXT(28739553000180,"00000000000000")</f>
        <v>28739553000180</v>
      </c>
      <c r="F1067" t="s">
        <v>643</v>
      </c>
      <c r="G1067" t="s">
        <v>173</v>
      </c>
      <c r="H1067">
        <v>78315115</v>
      </c>
      <c r="I1067" t="s">
        <v>743</v>
      </c>
      <c r="J1067">
        <v>10</v>
      </c>
      <c r="K1067">
        <v>7488.3</v>
      </c>
    </row>
    <row r="1068" spans="1:11" x14ac:dyDescent="0.3">
      <c r="A1068">
        <v>2026</v>
      </c>
      <c r="B1068">
        <v>1</v>
      </c>
      <c r="C1068" t="s">
        <v>291</v>
      </c>
      <c r="D1068" t="s">
        <v>292</v>
      </c>
      <c r="E1068" t="str">
        <f>TEXT(28739553000180,"00000000000000")</f>
        <v>28739553000180</v>
      </c>
      <c r="F1068" t="s">
        <v>643</v>
      </c>
      <c r="G1068" t="s">
        <v>173</v>
      </c>
      <c r="H1068">
        <v>78320364</v>
      </c>
      <c r="I1068" t="s">
        <v>744</v>
      </c>
      <c r="J1068">
        <v>5</v>
      </c>
      <c r="K1068">
        <v>850</v>
      </c>
    </row>
    <row r="1069" spans="1:11" x14ac:dyDescent="0.3">
      <c r="A1069">
        <v>2026</v>
      </c>
      <c r="B1069">
        <v>1</v>
      </c>
      <c r="C1069" t="s">
        <v>291</v>
      </c>
      <c r="D1069" t="s">
        <v>292</v>
      </c>
      <c r="E1069" t="str">
        <f>TEXT(28739553000180,"00000000000000")</f>
        <v>28739553000180</v>
      </c>
      <c r="F1069" t="s">
        <v>643</v>
      </c>
      <c r="G1069" t="s">
        <v>173</v>
      </c>
      <c r="H1069">
        <v>78326079</v>
      </c>
      <c r="I1069" t="s">
        <v>745</v>
      </c>
      <c r="J1069">
        <v>1</v>
      </c>
      <c r="K1069">
        <v>260.39999999999998</v>
      </c>
    </row>
    <row r="1070" spans="1:11" x14ac:dyDescent="0.3">
      <c r="A1070">
        <v>2026</v>
      </c>
      <c r="B1070">
        <v>1</v>
      </c>
      <c r="C1070" t="s">
        <v>291</v>
      </c>
      <c r="D1070" t="s">
        <v>292</v>
      </c>
      <c r="E1070" t="str">
        <f>TEXT(28739553000180,"00000000000000")</f>
        <v>28739553000180</v>
      </c>
      <c r="F1070" t="s">
        <v>643</v>
      </c>
      <c r="G1070" t="s">
        <v>173</v>
      </c>
      <c r="H1070">
        <v>78329019</v>
      </c>
      <c r="I1070" t="s">
        <v>746</v>
      </c>
      <c r="J1070">
        <v>5</v>
      </c>
      <c r="K1070">
        <v>675</v>
      </c>
    </row>
    <row r="1071" spans="1:11" x14ac:dyDescent="0.3">
      <c r="A1071">
        <v>2026</v>
      </c>
      <c r="B1071">
        <v>1</v>
      </c>
      <c r="C1071" t="s">
        <v>291</v>
      </c>
      <c r="D1071" t="s">
        <v>292</v>
      </c>
      <c r="E1071" t="str">
        <f>TEXT(28739553000180,"00000000000000")</f>
        <v>28739553000180</v>
      </c>
      <c r="F1071" t="s">
        <v>643</v>
      </c>
      <c r="G1071" t="s">
        <v>173</v>
      </c>
      <c r="H1071">
        <v>78336040</v>
      </c>
      <c r="I1071" t="s">
        <v>747</v>
      </c>
      <c r="J1071">
        <v>1</v>
      </c>
      <c r="K1071">
        <v>79.78</v>
      </c>
    </row>
    <row r="1072" spans="1:11" x14ac:dyDescent="0.3">
      <c r="A1072">
        <v>2026</v>
      </c>
      <c r="B1072">
        <v>1</v>
      </c>
      <c r="C1072" t="s">
        <v>291</v>
      </c>
      <c r="D1072" t="s">
        <v>292</v>
      </c>
      <c r="E1072" t="str">
        <f>TEXT(28739553000180,"00000000000000")</f>
        <v>28739553000180</v>
      </c>
      <c r="F1072" t="s">
        <v>643</v>
      </c>
      <c r="G1072" t="s">
        <v>173</v>
      </c>
      <c r="H1072">
        <v>78338700</v>
      </c>
      <c r="I1072" t="s">
        <v>748</v>
      </c>
      <c r="J1072">
        <v>8</v>
      </c>
      <c r="K1072">
        <v>520</v>
      </c>
    </row>
    <row r="1073" spans="1:11" x14ac:dyDescent="0.3">
      <c r="A1073">
        <v>2026</v>
      </c>
      <c r="B1073">
        <v>1</v>
      </c>
      <c r="C1073" t="s">
        <v>291</v>
      </c>
      <c r="D1073" t="s">
        <v>292</v>
      </c>
      <c r="E1073" t="str">
        <f>TEXT(28739553000180,"00000000000000")</f>
        <v>28739553000180</v>
      </c>
      <c r="F1073" t="s">
        <v>643</v>
      </c>
      <c r="G1073" t="s">
        <v>173</v>
      </c>
      <c r="H1073">
        <v>78338719</v>
      </c>
      <c r="I1073" t="s">
        <v>749</v>
      </c>
      <c r="J1073">
        <v>14</v>
      </c>
      <c r="K1073">
        <v>910</v>
      </c>
    </row>
    <row r="1074" spans="1:11" x14ac:dyDescent="0.3">
      <c r="A1074">
        <v>2026</v>
      </c>
      <c r="B1074">
        <v>1</v>
      </c>
      <c r="C1074" t="s">
        <v>291</v>
      </c>
      <c r="D1074" t="s">
        <v>292</v>
      </c>
      <c r="E1074" t="str">
        <f>TEXT(28739553000180,"00000000000000")</f>
        <v>28739553000180</v>
      </c>
      <c r="F1074" t="s">
        <v>643</v>
      </c>
      <c r="G1074" t="s">
        <v>173</v>
      </c>
      <c r="H1074">
        <v>78349125</v>
      </c>
      <c r="I1074" t="s">
        <v>750</v>
      </c>
      <c r="J1074">
        <v>9</v>
      </c>
      <c r="K1074">
        <v>30.24</v>
      </c>
    </row>
    <row r="1075" spans="1:11" x14ac:dyDescent="0.3">
      <c r="A1075">
        <v>2026</v>
      </c>
      <c r="B1075">
        <v>1</v>
      </c>
      <c r="C1075" t="s">
        <v>291</v>
      </c>
      <c r="D1075" t="s">
        <v>292</v>
      </c>
      <c r="E1075" t="str">
        <f>TEXT(28739553000180,"00000000000000")</f>
        <v>28739553000180</v>
      </c>
      <c r="F1075" t="s">
        <v>643</v>
      </c>
      <c r="G1075" t="s">
        <v>173</v>
      </c>
      <c r="H1075">
        <v>78388333</v>
      </c>
      <c r="I1075" t="s">
        <v>751</v>
      </c>
      <c r="J1075">
        <v>330</v>
      </c>
      <c r="K1075">
        <v>792</v>
      </c>
    </row>
    <row r="1076" spans="1:11" x14ac:dyDescent="0.3">
      <c r="A1076">
        <v>2026</v>
      </c>
      <c r="B1076">
        <v>1</v>
      </c>
      <c r="C1076" t="s">
        <v>291</v>
      </c>
      <c r="D1076" t="s">
        <v>292</v>
      </c>
      <c r="E1076" t="str">
        <f>TEXT(28739553000180,"00000000000000")</f>
        <v>28739553000180</v>
      </c>
      <c r="F1076" t="s">
        <v>643</v>
      </c>
      <c r="G1076" t="s">
        <v>173</v>
      </c>
      <c r="H1076">
        <v>78407702</v>
      </c>
      <c r="I1076" t="s">
        <v>752</v>
      </c>
      <c r="J1076">
        <v>2</v>
      </c>
      <c r="K1076">
        <v>3.7</v>
      </c>
    </row>
    <row r="1077" spans="1:11" x14ac:dyDescent="0.3">
      <c r="A1077">
        <v>2026</v>
      </c>
      <c r="B1077">
        <v>1</v>
      </c>
      <c r="C1077" t="s">
        <v>291</v>
      </c>
      <c r="D1077" t="s">
        <v>292</v>
      </c>
      <c r="E1077" t="str">
        <f>TEXT(28739553000180,"00000000000000")</f>
        <v>28739553000180</v>
      </c>
      <c r="F1077" t="s">
        <v>643</v>
      </c>
      <c r="G1077" t="s">
        <v>173</v>
      </c>
      <c r="H1077">
        <v>78986222</v>
      </c>
      <c r="I1077" t="s">
        <v>753</v>
      </c>
      <c r="J1077">
        <v>123</v>
      </c>
      <c r="K1077">
        <v>161.13</v>
      </c>
    </row>
    <row r="1078" spans="1:11" x14ac:dyDescent="0.3">
      <c r="A1078">
        <v>2026</v>
      </c>
      <c r="B1078">
        <v>1</v>
      </c>
      <c r="C1078" t="s">
        <v>291</v>
      </c>
      <c r="D1078" t="s">
        <v>292</v>
      </c>
      <c r="E1078" t="str">
        <f>TEXT(28739553000180,"00000000000000")</f>
        <v>28739553000180</v>
      </c>
      <c r="F1078" t="s">
        <v>643</v>
      </c>
      <c r="G1078" t="s">
        <v>173</v>
      </c>
      <c r="H1078">
        <v>78986338</v>
      </c>
      <c r="I1078" t="s">
        <v>754</v>
      </c>
      <c r="J1078">
        <v>1</v>
      </c>
      <c r="K1078">
        <v>1.47</v>
      </c>
    </row>
    <row r="1079" spans="1:11" x14ac:dyDescent="0.3">
      <c r="A1079">
        <v>2026</v>
      </c>
      <c r="B1079">
        <v>1</v>
      </c>
      <c r="C1079" t="s">
        <v>291</v>
      </c>
      <c r="D1079" t="s">
        <v>292</v>
      </c>
      <c r="E1079" t="str">
        <f>TEXT(28739553000180,"00000000000000")</f>
        <v>28739553000180</v>
      </c>
      <c r="F1079" t="s">
        <v>643</v>
      </c>
      <c r="G1079" t="s">
        <v>173</v>
      </c>
      <c r="H1079">
        <v>78997445</v>
      </c>
      <c r="I1079" t="s">
        <v>755</v>
      </c>
      <c r="J1079">
        <v>234</v>
      </c>
      <c r="K1079">
        <v>678.6</v>
      </c>
    </row>
    <row r="1080" spans="1:11" x14ac:dyDescent="0.3">
      <c r="A1080">
        <v>2026</v>
      </c>
      <c r="B1080">
        <v>1</v>
      </c>
      <c r="C1080" t="s">
        <v>291</v>
      </c>
      <c r="D1080" t="s">
        <v>292</v>
      </c>
      <c r="E1080" t="str">
        <f>TEXT(28739553000180,"00000000000000")</f>
        <v>28739553000180</v>
      </c>
      <c r="F1080" t="s">
        <v>643</v>
      </c>
      <c r="G1080" t="s">
        <v>173</v>
      </c>
      <c r="H1080">
        <v>79167985</v>
      </c>
      <c r="I1080" t="s">
        <v>756</v>
      </c>
      <c r="J1080">
        <v>69</v>
      </c>
      <c r="K1080">
        <v>53786.19</v>
      </c>
    </row>
    <row r="1081" spans="1:11" x14ac:dyDescent="0.3">
      <c r="A1081">
        <v>2026</v>
      </c>
      <c r="B1081">
        <v>1</v>
      </c>
      <c r="C1081" t="s">
        <v>291</v>
      </c>
      <c r="D1081" t="s">
        <v>292</v>
      </c>
      <c r="E1081" t="str">
        <f>TEXT(28739553000180,"00000000000000")</f>
        <v>28739553000180</v>
      </c>
      <c r="F1081" t="s">
        <v>643</v>
      </c>
      <c r="G1081" t="s">
        <v>173</v>
      </c>
      <c r="H1081">
        <v>90183929</v>
      </c>
      <c r="I1081" t="s">
        <v>659</v>
      </c>
      <c r="J1081">
        <v>6</v>
      </c>
      <c r="K1081">
        <v>16416</v>
      </c>
    </row>
    <row r="1082" spans="1:11" x14ac:dyDescent="0.3">
      <c r="A1082">
        <v>2026</v>
      </c>
      <c r="B1082">
        <v>1</v>
      </c>
      <c r="C1082" t="s">
        <v>291</v>
      </c>
      <c r="D1082" t="s">
        <v>292</v>
      </c>
      <c r="E1082" t="str">
        <f>TEXT(28739553000180,"00000000000000")</f>
        <v>28739553000180</v>
      </c>
      <c r="F1082" t="s">
        <v>643</v>
      </c>
      <c r="G1082" t="s">
        <v>173</v>
      </c>
      <c r="H1082">
        <v>99800383</v>
      </c>
      <c r="I1082" t="s">
        <v>741</v>
      </c>
      <c r="J1082">
        <v>7</v>
      </c>
      <c r="K1082">
        <v>37.659999999999997</v>
      </c>
    </row>
    <row r="1083" spans="1:11" x14ac:dyDescent="0.3">
      <c r="A1083">
        <v>2026</v>
      </c>
      <c r="B1083">
        <v>1</v>
      </c>
      <c r="C1083" t="s">
        <v>291</v>
      </c>
      <c r="D1083" t="s">
        <v>292</v>
      </c>
      <c r="E1083" t="str">
        <f>TEXT(28739553000180,"00000000000000")</f>
        <v>28739553000180</v>
      </c>
      <c r="F1083" t="s">
        <v>643</v>
      </c>
      <c r="G1083" t="s">
        <v>204</v>
      </c>
      <c r="H1083">
        <v>30753</v>
      </c>
      <c r="I1083" t="s">
        <v>757</v>
      </c>
      <c r="J1083">
        <v>3886</v>
      </c>
      <c r="K1083">
        <v>26083.200000000001</v>
      </c>
    </row>
    <row r="1084" spans="1:11" x14ac:dyDescent="0.3">
      <c r="A1084">
        <v>2026</v>
      </c>
      <c r="B1084">
        <v>1</v>
      </c>
      <c r="C1084" t="s">
        <v>291</v>
      </c>
      <c r="D1084" t="s">
        <v>292</v>
      </c>
      <c r="E1084" t="str">
        <f>TEXT(28739553000180,"00000000000000")</f>
        <v>28739553000180</v>
      </c>
      <c r="F1084" t="s">
        <v>643</v>
      </c>
      <c r="G1084" t="s">
        <v>204</v>
      </c>
      <c r="H1084">
        <v>143532</v>
      </c>
      <c r="I1084" t="s">
        <v>758</v>
      </c>
      <c r="J1084">
        <v>270</v>
      </c>
      <c r="K1084">
        <v>56.7</v>
      </c>
    </row>
    <row r="1085" spans="1:11" x14ac:dyDescent="0.3">
      <c r="A1085">
        <v>2026</v>
      </c>
      <c r="B1085">
        <v>1</v>
      </c>
      <c r="C1085" t="s">
        <v>291</v>
      </c>
      <c r="D1085" t="s">
        <v>292</v>
      </c>
      <c r="E1085" t="str">
        <f>TEXT(28739553000180,"00000000000000")</f>
        <v>28739553000180</v>
      </c>
      <c r="F1085" t="s">
        <v>643</v>
      </c>
      <c r="G1085" t="s">
        <v>204</v>
      </c>
      <c r="H1085">
        <v>145065</v>
      </c>
      <c r="I1085" t="s">
        <v>759</v>
      </c>
      <c r="J1085">
        <v>460</v>
      </c>
      <c r="K1085">
        <v>174.8</v>
      </c>
    </row>
    <row r="1086" spans="1:11" x14ac:dyDescent="0.3">
      <c r="A1086">
        <v>2026</v>
      </c>
      <c r="B1086">
        <v>1</v>
      </c>
      <c r="C1086" t="s">
        <v>291</v>
      </c>
      <c r="D1086" t="s">
        <v>292</v>
      </c>
      <c r="E1086" t="str">
        <f>TEXT(28739553000180,"00000000000000")</f>
        <v>28739553000180</v>
      </c>
      <c r="F1086" t="s">
        <v>643</v>
      </c>
      <c r="G1086" t="s">
        <v>204</v>
      </c>
      <c r="H1086">
        <v>320613</v>
      </c>
      <c r="I1086" t="s">
        <v>760</v>
      </c>
      <c r="J1086">
        <v>190</v>
      </c>
      <c r="K1086">
        <v>81.7</v>
      </c>
    </row>
    <row r="1087" spans="1:11" x14ac:dyDescent="0.3">
      <c r="A1087">
        <v>2026</v>
      </c>
      <c r="B1087">
        <v>1</v>
      </c>
      <c r="C1087" t="s">
        <v>291</v>
      </c>
      <c r="D1087" t="s">
        <v>292</v>
      </c>
      <c r="E1087" t="str">
        <f>TEXT(28739553000180,"00000000000000")</f>
        <v>28739553000180</v>
      </c>
      <c r="F1087" t="s">
        <v>643</v>
      </c>
      <c r="G1087" t="s">
        <v>204</v>
      </c>
      <c r="H1087">
        <v>90016181</v>
      </c>
      <c r="I1087" t="s">
        <v>761</v>
      </c>
      <c r="J1087">
        <v>165</v>
      </c>
      <c r="K1087">
        <v>2384.25</v>
      </c>
    </row>
    <row r="1088" spans="1:11" x14ac:dyDescent="0.3">
      <c r="A1088">
        <v>2026</v>
      </c>
      <c r="B1088">
        <v>1</v>
      </c>
      <c r="C1088" t="s">
        <v>291</v>
      </c>
      <c r="D1088" t="s">
        <v>292</v>
      </c>
      <c r="E1088" t="str">
        <f>TEXT(28739553000180,"00000000000000")</f>
        <v>28739553000180</v>
      </c>
      <c r="F1088" t="s">
        <v>643</v>
      </c>
      <c r="G1088" t="s">
        <v>204</v>
      </c>
      <c r="H1088">
        <v>90022084</v>
      </c>
      <c r="I1088" t="s">
        <v>762</v>
      </c>
      <c r="J1088">
        <v>44</v>
      </c>
      <c r="K1088">
        <v>645.48</v>
      </c>
    </row>
    <row r="1089" spans="1:11" x14ac:dyDescent="0.3">
      <c r="A1089">
        <v>2026</v>
      </c>
      <c r="B1089">
        <v>1</v>
      </c>
      <c r="C1089" t="s">
        <v>291</v>
      </c>
      <c r="D1089" t="s">
        <v>292</v>
      </c>
      <c r="E1089" t="str">
        <f>TEXT(28739553000180,"00000000000000")</f>
        <v>28739553000180</v>
      </c>
      <c r="F1089" t="s">
        <v>643</v>
      </c>
      <c r="G1089" t="s">
        <v>204</v>
      </c>
      <c r="H1089">
        <v>90026136</v>
      </c>
      <c r="I1089" t="s">
        <v>763</v>
      </c>
      <c r="J1089">
        <v>11</v>
      </c>
      <c r="K1089">
        <v>449.57</v>
      </c>
    </row>
    <row r="1090" spans="1:11" x14ac:dyDescent="0.3">
      <c r="A1090">
        <v>2026</v>
      </c>
      <c r="B1090">
        <v>1</v>
      </c>
      <c r="C1090" t="s">
        <v>291</v>
      </c>
      <c r="D1090" t="s">
        <v>292</v>
      </c>
      <c r="E1090" t="str">
        <f>TEXT(28739553000180,"00000000000000")</f>
        <v>28739553000180</v>
      </c>
      <c r="F1090" t="s">
        <v>643</v>
      </c>
      <c r="G1090" t="s">
        <v>204</v>
      </c>
      <c r="H1090">
        <v>90032624</v>
      </c>
      <c r="I1090" t="s">
        <v>764</v>
      </c>
      <c r="J1090">
        <v>1</v>
      </c>
      <c r="K1090">
        <v>0.54</v>
      </c>
    </row>
    <row r="1091" spans="1:11" x14ac:dyDescent="0.3">
      <c r="A1091">
        <v>2026</v>
      </c>
      <c r="B1091">
        <v>1</v>
      </c>
      <c r="C1091" t="s">
        <v>291</v>
      </c>
      <c r="D1091" t="s">
        <v>292</v>
      </c>
      <c r="E1091" t="str">
        <f>TEXT(28739553000180,"00000000000000")</f>
        <v>28739553000180</v>
      </c>
      <c r="F1091" t="s">
        <v>643</v>
      </c>
      <c r="G1091" t="s">
        <v>204</v>
      </c>
      <c r="H1091">
        <v>90045360</v>
      </c>
      <c r="I1091" t="s">
        <v>765</v>
      </c>
      <c r="J1091">
        <v>12</v>
      </c>
      <c r="K1091">
        <v>193.56</v>
      </c>
    </row>
    <row r="1092" spans="1:11" x14ac:dyDescent="0.3">
      <c r="A1092">
        <v>2026</v>
      </c>
      <c r="B1092">
        <v>1</v>
      </c>
      <c r="C1092" t="s">
        <v>291</v>
      </c>
      <c r="D1092" t="s">
        <v>292</v>
      </c>
      <c r="E1092" t="str">
        <f>TEXT(28739553000180,"00000000000000")</f>
        <v>28739553000180</v>
      </c>
      <c r="F1092" t="s">
        <v>643</v>
      </c>
      <c r="G1092" t="s">
        <v>204</v>
      </c>
      <c r="H1092">
        <v>90045769</v>
      </c>
      <c r="I1092" t="s">
        <v>766</v>
      </c>
      <c r="J1092">
        <v>3</v>
      </c>
      <c r="K1092">
        <v>27.81</v>
      </c>
    </row>
    <row r="1093" spans="1:11" x14ac:dyDescent="0.3">
      <c r="A1093">
        <v>2026</v>
      </c>
      <c r="B1093">
        <v>1</v>
      </c>
      <c r="C1093" t="s">
        <v>291</v>
      </c>
      <c r="D1093" t="s">
        <v>292</v>
      </c>
      <c r="E1093" t="str">
        <f>TEXT(28739553000180,"00000000000000")</f>
        <v>28739553000180</v>
      </c>
      <c r="F1093" t="s">
        <v>643</v>
      </c>
      <c r="G1093" t="s">
        <v>204</v>
      </c>
      <c r="H1093">
        <v>90045777</v>
      </c>
      <c r="I1093" t="s">
        <v>767</v>
      </c>
      <c r="J1093">
        <v>5</v>
      </c>
      <c r="K1093">
        <v>34.049999999999997</v>
      </c>
    </row>
    <row r="1094" spans="1:11" x14ac:dyDescent="0.3">
      <c r="A1094">
        <v>2026</v>
      </c>
      <c r="B1094">
        <v>1</v>
      </c>
      <c r="C1094" t="s">
        <v>291</v>
      </c>
      <c r="D1094" t="s">
        <v>292</v>
      </c>
      <c r="E1094" t="str">
        <f>TEXT(28739553000180,"00000000000000")</f>
        <v>28739553000180</v>
      </c>
      <c r="F1094" t="s">
        <v>643</v>
      </c>
      <c r="G1094" t="s">
        <v>204</v>
      </c>
      <c r="H1094">
        <v>90046064</v>
      </c>
      <c r="I1094" t="s">
        <v>768</v>
      </c>
      <c r="J1094">
        <v>1</v>
      </c>
      <c r="K1094">
        <v>37.619999999999997</v>
      </c>
    </row>
    <row r="1095" spans="1:11" x14ac:dyDescent="0.3">
      <c r="A1095">
        <v>2026</v>
      </c>
      <c r="B1095">
        <v>1</v>
      </c>
      <c r="C1095" t="s">
        <v>291</v>
      </c>
      <c r="D1095" t="s">
        <v>292</v>
      </c>
      <c r="E1095" t="str">
        <f>TEXT(28739553000180,"00000000000000")</f>
        <v>28739553000180</v>
      </c>
      <c r="F1095" t="s">
        <v>643</v>
      </c>
      <c r="G1095" t="s">
        <v>204</v>
      </c>
      <c r="H1095">
        <v>90046420</v>
      </c>
      <c r="I1095" t="s">
        <v>769</v>
      </c>
      <c r="J1095">
        <v>1</v>
      </c>
      <c r="K1095">
        <v>8.33</v>
      </c>
    </row>
    <row r="1096" spans="1:11" x14ac:dyDescent="0.3">
      <c r="A1096">
        <v>2026</v>
      </c>
      <c r="B1096">
        <v>1</v>
      </c>
      <c r="C1096" t="s">
        <v>291</v>
      </c>
      <c r="D1096" t="s">
        <v>292</v>
      </c>
      <c r="E1096" t="str">
        <f>TEXT(28739553000180,"00000000000000")</f>
        <v>28739553000180</v>
      </c>
      <c r="F1096" t="s">
        <v>643</v>
      </c>
      <c r="G1096" t="s">
        <v>204</v>
      </c>
      <c r="H1096">
        <v>90046510</v>
      </c>
      <c r="I1096" t="s">
        <v>770</v>
      </c>
      <c r="J1096">
        <v>2</v>
      </c>
      <c r="K1096">
        <v>137.76</v>
      </c>
    </row>
    <row r="1097" spans="1:11" x14ac:dyDescent="0.3">
      <c r="A1097">
        <v>2026</v>
      </c>
      <c r="B1097">
        <v>1</v>
      </c>
      <c r="C1097" t="s">
        <v>291</v>
      </c>
      <c r="D1097" t="s">
        <v>292</v>
      </c>
      <c r="E1097" t="str">
        <f>TEXT(28739553000180,"00000000000000")</f>
        <v>28739553000180</v>
      </c>
      <c r="F1097" t="s">
        <v>643</v>
      </c>
      <c r="G1097" t="s">
        <v>204</v>
      </c>
      <c r="H1097">
        <v>90047567</v>
      </c>
      <c r="I1097" t="s">
        <v>771</v>
      </c>
      <c r="J1097">
        <v>1</v>
      </c>
      <c r="K1097">
        <v>5.55</v>
      </c>
    </row>
    <row r="1098" spans="1:11" x14ac:dyDescent="0.3">
      <c r="A1098">
        <v>2026</v>
      </c>
      <c r="B1098">
        <v>1</v>
      </c>
      <c r="C1098" t="s">
        <v>291</v>
      </c>
      <c r="D1098" t="s">
        <v>292</v>
      </c>
      <c r="E1098" t="str">
        <f>TEXT(28739553000180,"00000000000000")</f>
        <v>28739553000180</v>
      </c>
      <c r="F1098" t="s">
        <v>643</v>
      </c>
      <c r="G1098" t="s">
        <v>204</v>
      </c>
      <c r="H1098">
        <v>90048261</v>
      </c>
      <c r="I1098" t="s">
        <v>772</v>
      </c>
      <c r="J1098">
        <v>166</v>
      </c>
      <c r="K1098">
        <v>4435.5200000000004</v>
      </c>
    </row>
    <row r="1099" spans="1:11" x14ac:dyDescent="0.3">
      <c r="A1099">
        <v>2026</v>
      </c>
      <c r="B1099">
        <v>1</v>
      </c>
      <c r="C1099" t="s">
        <v>291</v>
      </c>
      <c r="D1099" t="s">
        <v>292</v>
      </c>
      <c r="E1099" t="str">
        <f>TEXT(28739553000180,"00000000000000")</f>
        <v>28739553000180</v>
      </c>
      <c r="F1099" t="s">
        <v>643</v>
      </c>
      <c r="G1099" t="s">
        <v>204</v>
      </c>
      <c r="H1099">
        <v>90048504</v>
      </c>
      <c r="I1099" t="s">
        <v>773</v>
      </c>
      <c r="J1099">
        <v>79</v>
      </c>
      <c r="K1099">
        <v>4494.3100000000004</v>
      </c>
    </row>
    <row r="1100" spans="1:11" x14ac:dyDescent="0.3">
      <c r="A1100">
        <v>2026</v>
      </c>
      <c r="B1100">
        <v>1</v>
      </c>
      <c r="C1100" t="s">
        <v>291</v>
      </c>
      <c r="D1100" t="s">
        <v>292</v>
      </c>
      <c r="E1100" t="str">
        <f>TEXT(28739553000180,"00000000000000")</f>
        <v>28739553000180</v>
      </c>
      <c r="F1100" t="s">
        <v>643</v>
      </c>
      <c r="G1100" t="s">
        <v>204</v>
      </c>
      <c r="H1100">
        <v>90049551</v>
      </c>
      <c r="I1100" t="s">
        <v>774</v>
      </c>
      <c r="J1100">
        <v>860</v>
      </c>
      <c r="K1100">
        <v>455.8</v>
      </c>
    </row>
    <row r="1101" spans="1:11" x14ac:dyDescent="0.3">
      <c r="A1101">
        <v>2026</v>
      </c>
      <c r="B1101">
        <v>1</v>
      </c>
      <c r="C1101" t="s">
        <v>291</v>
      </c>
      <c r="D1101" t="s">
        <v>292</v>
      </c>
      <c r="E1101" t="str">
        <f>TEXT(28739553000180,"00000000000000")</f>
        <v>28739553000180</v>
      </c>
      <c r="F1101" t="s">
        <v>643</v>
      </c>
      <c r="G1101" t="s">
        <v>204</v>
      </c>
      <c r="H1101">
        <v>90051424</v>
      </c>
      <c r="I1101" t="s">
        <v>775</v>
      </c>
      <c r="J1101">
        <v>1523</v>
      </c>
      <c r="K1101">
        <v>137.07</v>
      </c>
    </row>
    <row r="1102" spans="1:11" x14ac:dyDescent="0.3">
      <c r="A1102">
        <v>2026</v>
      </c>
      <c r="B1102">
        <v>1</v>
      </c>
      <c r="C1102" t="s">
        <v>291</v>
      </c>
      <c r="D1102" t="s">
        <v>292</v>
      </c>
      <c r="E1102" t="str">
        <f>TEXT(28739553000180,"00000000000000")</f>
        <v>28739553000180</v>
      </c>
      <c r="F1102" t="s">
        <v>643</v>
      </c>
      <c r="G1102" t="s">
        <v>204</v>
      </c>
      <c r="H1102">
        <v>90051459</v>
      </c>
      <c r="I1102" t="s">
        <v>776</v>
      </c>
      <c r="J1102">
        <v>455</v>
      </c>
      <c r="K1102">
        <v>40.950000000000003</v>
      </c>
    </row>
    <row r="1103" spans="1:11" x14ac:dyDescent="0.3">
      <c r="A1103">
        <v>2026</v>
      </c>
      <c r="B1103">
        <v>1</v>
      </c>
      <c r="C1103" t="s">
        <v>291</v>
      </c>
      <c r="D1103" t="s">
        <v>292</v>
      </c>
      <c r="E1103" t="str">
        <f>TEXT(28739553000180,"00000000000000")</f>
        <v>28739553000180</v>
      </c>
      <c r="F1103" t="s">
        <v>643</v>
      </c>
      <c r="G1103" t="s">
        <v>204</v>
      </c>
      <c r="H1103">
        <v>90056612</v>
      </c>
      <c r="I1103" t="s">
        <v>777</v>
      </c>
      <c r="J1103">
        <v>21</v>
      </c>
      <c r="K1103">
        <v>114.66</v>
      </c>
    </row>
    <row r="1104" spans="1:11" x14ac:dyDescent="0.3">
      <c r="A1104">
        <v>2026</v>
      </c>
      <c r="B1104">
        <v>1</v>
      </c>
      <c r="C1104" t="s">
        <v>291</v>
      </c>
      <c r="D1104" t="s">
        <v>292</v>
      </c>
      <c r="E1104" t="str">
        <f>TEXT(28739553000180,"00000000000000")</f>
        <v>28739553000180</v>
      </c>
      <c r="F1104" t="s">
        <v>643</v>
      </c>
      <c r="G1104" t="s">
        <v>204</v>
      </c>
      <c r="H1104">
        <v>90059336</v>
      </c>
      <c r="I1104" t="s">
        <v>258</v>
      </c>
      <c r="J1104">
        <v>16</v>
      </c>
      <c r="K1104">
        <v>112</v>
      </c>
    </row>
    <row r="1105" spans="1:11" x14ac:dyDescent="0.3">
      <c r="A1105">
        <v>2026</v>
      </c>
      <c r="B1105">
        <v>1</v>
      </c>
      <c r="C1105" t="s">
        <v>291</v>
      </c>
      <c r="D1105" t="s">
        <v>292</v>
      </c>
      <c r="E1105" t="str">
        <f>TEXT(28739553000180,"00000000000000")</f>
        <v>28739553000180</v>
      </c>
      <c r="F1105" t="s">
        <v>643</v>
      </c>
      <c r="G1105" t="s">
        <v>204</v>
      </c>
      <c r="H1105">
        <v>90066758</v>
      </c>
      <c r="I1105" t="s">
        <v>778</v>
      </c>
      <c r="J1105">
        <v>61</v>
      </c>
      <c r="K1105">
        <v>4093.1</v>
      </c>
    </row>
    <row r="1106" spans="1:11" x14ac:dyDescent="0.3">
      <c r="A1106">
        <v>2026</v>
      </c>
      <c r="B1106">
        <v>1</v>
      </c>
      <c r="C1106" t="s">
        <v>291</v>
      </c>
      <c r="D1106" t="s">
        <v>292</v>
      </c>
      <c r="E1106" t="str">
        <f>TEXT(28739553000180,"00000000000000")</f>
        <v>28739553000180</v>
      </c>
      <c r="F1106" t="s">
        <v>643</v>
      </c>
      <c r="G1106" t="s">
        <v>204</v>
      </c>
      <c r="H1106">
        <v>90068513</v>
      </c>
      <c r="I1106" t="s">
        <v>779</v>
      </c>
      <c r="J1106">
        <v>8</v>
      </c>
      <c r="K1106">
        <v>12.64</v>
      </c>
    </row>
    <row r="1107" spans="1:11" x14ac:dyDescent="0.3">
      <c r="A1107">
        <v>2026</v>
      </c>
      <c r="B1107">
        <v>1</v>
      </c>
      <c r="C1107" t="s">
        <v>291</v>
      </c>
      <c r="D1107" t="s">
        <v>292</v>
      </c>
      <c r="E1107" t="str">
        <f>TEXT(28739553000180,"00000000000000")</f>
        <v>28739553000180</v>
      </c>
      <c r="F1107" t="s">
        <v>643</v>
      </c>
      <c r="G1107" t="s">
        <v>204</v>
      </c>
      <c r="H1107">
        <v>90069323</v>
      </c>
      <c r="I1107" t="s">
        <v>780</v>
      </c>
      <c r="J1107">
        <v>17</v>
      </c>
      <c r="K1107">
        <v>14.28</v>
      </c>
    </row>
    <row r="1108" spans="1:11" x14ac:dyDescent="0.3">
      <c r="A1108">
        <v>2026</v>
      </c>
      <c r="B1108">
        <v>1</v>
      </c>
      <c r="C1108" t="s">
        <v>291</v>
      </c>
      <c r="D1108" t="s">
        <v>292</v>
      </c>
      <c r="E1108" t="str">
        <f>TEXT(28739553000180,"00000000000000")</f>
        <v>28739553000180</v>
      </c>
      <c r="F1108" t="s">
        <v>643</v>
      </c>
      <c r="G1108" t="s">
        <v>204</v>
      </c>
      <c r="H1108">
        <v>90069498</v>
      </c>
      <c r="I1108" t="s">
        <v>781</v>
      </c>
      <c r="J1108">
        <v>60</v>
      </c>
      <c r="K1108">
        <v>22302.6</v>
      </c>
    </row>
    <row r="1109" spans="1:11" x14ac:dyDescent="0.3">
      <c r="A1109">
        <v>2026</v>
      </c>
      <c r="B1109">
        <v>1</v>
      </c>
      <c r="C1109" t="s">
        <v>291</v>
      </c>
      <c r="D1109" t="s">
        <v>292</v>
      </c>
      <c r="E1109" t="str">
        <f>TEXT(28739553000180,"00000000000000")</f>
        <v>28739553000180</v>
      </c>
      <c r="F1109" t="s">
        <v>643</v>
      </c>
      <c r="G1109" t="s">
        <v>204</v>
      </c>
      <c r="H1109">
        <v>90069862</v>
      </c>
      <c r="I1109" t="s">
        <v>782</v>
      </c>
      <c r="J1109">
        <v>136</v>
      </c>
      <c r="K1109">
        <v>11084</v>
      </c>
    </row>
    <row r="1110" spans="1:11" x14ac:dyDescent="0.3">
      <c r="A1110">
        <v>2026</v>
      </c>
      <c r="B1110">
        <v>1</v>
      </c>
      <c r="C1110" t="s">
        <v>291</v>
      </c>
      <c r="D1110" t="s">
        <v>292</v>
      </c>
      <c r="E1110" t="str">
        <f>TEXT(28739553000180,"00000000000000")</f>
        <v>28739553000180</v>
      </c>
      <c r="F1110" t="s">
        <v>643</v>
      </c>
      <c r="G1110" t="s">
        <v>204</v>
      </c>
      <c r="H1110">
        <v>90072081</v>
      </c>
      <c r="I1110" t="s">
        <v>783</v>
      </c>
      <c r="J1110">
        <v>940</v>
      </c>
      <c r="K1110">
        <v>1081</v>
      </c>
    </row>
    <row r="1111" spans="1:11" x14ac:dyDescent="0.3">
      <c r="A1111">
        <v>2026</v>
      </c>
      <c r="B1111">
        <v>1</v>
      </c>
      <c r="C1111" t="s">
        <v>291</v>
      </c>
      <c r="D1111" t="s">
        <v>292</v>
      </c>
      <c r="E1111" t="str">
        <f>TEXT(28739553000180,"00000000000000")</f>
        <v>28739553000180</v>
      </c>
      <c r="F1111" t="s">
        <v>643</v>
      </c>
      <c r="G1111" t="s">
        <v>204</v>
      </c>
      <c r="H1111">
        <v>90075056</v>
      </c>
      <c r="I1111" t="s">
        <v>784</v>
      </c>
      <c r="J1111">
        <v>2</v>
      </c>
      <c r="K1111">
        <v>227.18</v>
      </c>
    </row>
    <row r="1112" spans="1:11" x14ac:dyDescent="0.3">
      <c r="A1112">
        <v>2026</v>
      </c>
      <c r="B1112">
        <v>1</v>
      </c>
      <c r="C1112" t="s">
        <v>291</v>
      </c>
      <c r="D1112" t="s">
        <v>292</v>
      </c>
      <c r="E1112" t="str">
        <f>TEXT(28739553000180,"00000000000000")</f>
        <v>28739553000180</v>
      </c>
      <c r="F1112" t="s">
        <v>643</v>
      </c>
      <c r="G1112" t="s">
        <v>204</v>
      </c>
      <c r="H1112">
        <v>90075412</v>
      </c>
      <c r="I1112" t="s">
        <v>785</v>
      </c>
      <c r="J1112">
        <v>7</v>
      </c>
      <c r="K1112">
        <v>21.91</v>
      </c>
    </row>
    <row r="1113" spans="1:11" x14ac:dyDescent="0.3">
      <c r="A1113">
        <v>2026</v>
      </c>
      <c r="B1113">
        <v>1</v>
      </c>
      <c r="C1113" t="s">
        <v>291</v>
      </c>
      <c r="D1113" t="s">
        <v>292</v>
      </c>
      <c r="E1113" t="str">
        <f>TEXT(28739553000180,"00000000000000")</f>
        <v>28739553000180</v>
      </c>
      <c r="F1113" t="s">
        <v>643</v>
      </c>
      <c r="G1113" t="s">
        <v>204</v>
      </c>
      <c r="H1113">
        <v>90076320</v>
      </c>
      <c r="I1113" t="s">
        <v>786</v>
      </c>
      <c r="J1113">
        <v>82</v>
      </c>
      <c r="K1113">
        <v>1096.3399999999999</v>
      </c>
    </row>
    <row r="1114" spans="1:11" x14ac:dyDescent="0.3">
      <c r="A1114">
        <v>2026</v>
      </c>
      <c r="B1114">
        <v>1</v>
      </c>
      <c r="C1114" t="s">
        <v>291</v>
      </c>
      <c r="D1114" t="s">
        <v>292</v>
      </c>
      <c r="E1114" t="str">
        <f>TEXT(28739553000180,"00000000000000")</f>
        <v>28739553000180</v>
      </c>
      <c r="F1114" t="s">
        <v>643</v>
      </c>
      <c r="G1114" t="s">
        <v>204</v>
      </c>
      <c r="H1114">
        <v>90089936</v>
      </c>
      <c r="I1114" t="s">
        <v>787</v>
      </c>
      <c r="J1114">
        <v>81</v>
      </c>
      <c r="K1114">
        <v>129.21</v>
      </c>
    </row>
    <row r="1115" spans="1:11" x14ac:dyDescent="0.3">
      <c r="A1115">
        <v>2026</v>
      </c>
      <c r="B1115">
        <v>1</v>
      </c>
      <c r="C1115" t="s">
        <v>291</v>
      </c>
      <c r="D1115" t="s">
        <v>292</v>
      </c>
      <c r="E1115" t="str">
        <f>TEXT(28739553000180,"00000000000000")</f>
        <v>28739553000180</v>
      </c>
      <c r="F1115" t="s">
        <v>643</v>
      </c>
      <c r="G1115" t="s">
        <v>204</v>
      </c>
      <c r="H1115">
        <v>90094794</v>
      </c>
      <c r="I1115" t="s">
        <v>788</v>
      </c>
      <c r="J1115">
        <v>143</v>
      </c>
      <c r="K1115">
        <v>18753.02</v>
      </c>
    </row>
    <row r="1116" spans="1:11" x14ac:dyDescent="0.3">
      <c r="A1116">
        <v>2026</v>
      </c>
      <c r="B1116">
        <v>1</v>
      </c>
      <c r="C1116" t="s">
        <v>291</v>
      </c>
      <c r="D1116" t="s">
        <v>292</v>
      </c>
      <c r="E1116" t="str">
        <f>TEXT(28739553000180,"00000000000000")</f>
        <v>28739553000180</v>
      </c>
      <c r="F1116" t="s">
        <v>643</v>
      </c>
      <c r="G1116" t="s">
        <v>204</v>
      </c>
      <c r="H1116">
        <v>90095731</v>
      </c>
      <c r="I1116" t="s">
        <v>789</v>
      </c>
      <c r="J1116">
        <v>43</v>
      </c>
      <c r="K1116">
        <v>823.02</v>
      </c>
    </row>
    <row r="1117" spans="1:11" x14ac:dyDescent="0.3">
      <c r="A1117">
        <v>2026</v>
      </c>
      <c r="B1117">
        <v>1</v>
      </c>
      <c r="C1117" t="s">
        <v>291</v>
      </c>
      <c r="D1117" t="s">
        <v>292</v>
      </c>
      <c r="E1117" t="str">
        <f>TEXT(28739553000180,"00000000000000")</f>
        <v>28739553000180</v>
      </c>
      <c r="F1117" t="s">
        <v>643</v>
      </c>
      <c r="G1117" t="s">
        <v>204</v>
      </c>
      <c r="H1117">
        <v>90095740</v>
      </c>
      <c r="I1117" t="s">
        <v>790</v>
      </c>
      <c r="J1117">
        <v>40</v>
      </c>
      <c r="K1117">
        <v>135.6</v>
      </c>
    </row>
    <row r="1118" spans="1:11" x14ac:dyDescent="0.3">
      <c r="A1118">
        <v>2026</v>
      </c>
      <c r="B1118">
        <v>1</v>
      </c>
      <c r="C1118" t="s">
        <v>291</v>
      </c>
      <c r="D1118" t="s">
        <v>292</v>
      </c>
      <c r="E1118" t="str">
        <f>TEXT(28739553000180,"00000000000000")</f>
        <v>28739553000180</v>
      </c>
      <c r="F1118" t="s">
        <v>643</v>
      </c>
      <c r="G1118" t="s">
        <v>204</v>
      </c>
      <c r="H1118">
        <v>90096150</v>
      </c>
      <c r="I1118" t="s">
        <v>791</v>
      </c>
      <c r="J1118">
        <v>6</v>
      </c>
      <c r="K1118">
        <v>27.18</v>
      </c>
    </row>
    <row r="1119" spans="1:11" x14ac:dyDescent="0.3">
      <c r="A1119">
        <v>2026</v>
      </c>
      <c r="B1119">
        <v>1</v>
      </c>
      <c r="C1119" t="s">
        <v>291</v>
      </c>
      <c r="D1119" t="s">
        <v>292</v>
      </c>
      <c r="E1119" t="str">
        <f>TEXT(28739553000180,"00000000000000")</f>
        <v>28739553000180</v>
      </c>
      <c r="F1119" t="s">
        <v>643</v>
      </c>
      <c r="G1119" t="s">
        <v>204</v>
      </c>
      <c r="H1119">
        <v>90096487</v>
      </c>
      <c r="I1119" t="s">
        <v>792</v>
      </c>
      <c r="J1119">
        <v>5</v>
      </c>
      <c r="K1119">
        <v>19.05</v>
      </c>
    </row>
    <row r="1120" spans="1:11" x14ac:dyDescent="0.3">
      <c r="A1120">
        <v>2026</v>
      </c>
      <c r="B1120">
        <v>1</v>
      </c>
      <c r="C1120" t="s">
        <v>291</v>
      </c>
      <c r="D1120" t="s">
        <v>292</v>
      </c>
      <c r="E1120" t="str">
        <f>TEXT(28739553000180,"00000000000000")</f>
        <v>28739553000180</v>
      </c>
      <c r="F1120" t="s">
        <v>643</v>
      </c>
      <c r="G1120" t="s">
        <v>204</v>
      </c>
      <c r="H1120">
        <v>90097300</v>
      </c>
      <c r="I1120" t="s">
        <v>793</v>
      </c>
      <c r="J1120">
        <v>48</v>
      </c>
      <c r="K1120">
        <v>48</v>
      </c>
    </row>
    <row r="1121" spans="1:11" x14ac:dyDescent="0.3">
      <c r="A1121">
        <v>2026</v>
      </c>
      <c r="B1121">
        <v>1</v>
      </c>
      <c r="C1121" t="s">
        <v>291</v>
      </c>
      <c r="D1121" t="s">
        <v>292</v>
      </c>
      <c r="E1121" t="str">
        <f>TEXT(28739553000180,"00000000000000")</f>
        <v>28739553000180</v>
      </c>
      <c r="F1121" t="s">
        <v>643</v>
      </c>
      <c r="G1121" t="s">
        <v>204</v>
      </c>
      <c r="H1121">
        <v>90097378</v>
      </c>
      <c r="I1121" t="s">
        <v>794</v>
      </c>
      <c r="J1121">
        <v>215</v>
      </c>
      <c r="K1121">
        <v>4222.6000000000004</v>
      </c>
    </row>
    <row r="1122" spans="1:11" x14ac:dyDescent="0.3">
      <c r="A1122">
        <v>2026</v>
      </c>
      <c r="B1122">
        <v>1</v>
      </c>
      <c r="C1122" t="s">
        <v>291</v>
      </c>
      <c r="D1122" t="s">
        <v>292</v>
      </c>
      <c r="E1122" t="str">
        <f>TEXT(28739553000180,"00000000000000")</f>
        <v>28739553000180</v>
      </c>
      <c r="F1122" t="s">
        <v>643</v>
      </c>
      <c r="G1122" t="s">
        <v>204</v>
      </c>
      <c r="H1122">
        <v>90097602</v>
      </c>
      <c r="I1122" t="s">
        <v>795</v>
      </c>
      <c r="J1122">
        <v>6</v>
      </c>
      <c r="K1122">
        <v>114.3</v>
      </c>
    </row>
    <row r="1123" spans="1:11" x14ac:dyDescent="0.3">
      <c r="A1123">
        <v>2026</v>
      </c>
      <c r="B1123">
        <v>1</v>
      </c>
      <c r="C1123" t="s">
        <v>291</v>
      </c>
      <c r="D1123" t="s">
        <v>292</v>
      </c>
      <c r="E1123" t="str">
        <f>TEXT(28739553000180,"00000000000000")</f>
        <v>28739553000180</v>
      </c>
      <c r="F1123" t="s">
        <v>643</v>
      </c>
      <c r="G1123" t="s">
        <v>204</v>
      </c>
      <c r="H1123">
        <v>90098218</v>
      </c>
      <c r="I1123" t="s">
        <v>796</v>
      </c>
      <c r="J1123">
        <v>20</v>
      </c>
      <c r="K1123">
        <v>117.4</v>
      </c>
    </row>
    <row r="1124" spans="1:11" x14ac:dyDescent="0.3">
      <c r="A1124">
        <v>2026</v>
      </c>
      <c r="B1124">
        <v>1</v>
      </c>
      <c r="C1124" t="s">
        <v>291</v>
      </c>
      <c r="D1124" t="s">
        <v>292</v>
      </c>
      <c r="E1124" t="str">
        <f>TEXT(28739553000180,"00000000000000")</f>
        <v>28739553000180</v>
      </c>
      <c r="F1124" t="s">
        <v>643</v>
      </c>
      <c r="G1124" t="s">
        <v>204</v>
      </c>
      <c r="H1124">
        <v>90099311</v>
      </c>
      <c r="I1124" t="s">
        <v>797</v>
      </c>
      <c r="J1124">
        <v>3</v>
      </c>
      <c r="K1124">
        <v>32.549999999999997</v>
      </c>
    </row>
    <row r="1125" spans="1:11" x14ac:dyDescent="0.3">
      <c r="A1125">
        <v>2026</v>
      </c>
      <c r="B1125">
        <v>1</v>
      </c>
      <c r="C1125" t="s">
        <v>291</v>
      </c>
      <c r="D1125" t="s">
        <v>292</v>
      </c>
      <c r="E1125" t="str">
        <f>TEXT(28739553000180,"00000000000000")</f>
        <v>28739553000180</v>
      </c>
      <c r="F1125" t="s">
        <v>643</v>
      </c>
      <c r="G1125" t="s">
        <v>204</v>
      </c>
      <c r="H1125">
        <v>90099419</v>
      </c>
      <c r="I1125" t="s">
        <v>798</v>
      </c>
      <c r="J1125">
        <v>2</v>
      </c>
      <c r="K1125">
        <v>9.4600000000000009</v>
      </c>
    </row>
    <row r="1126" spans="1:11" x14ac:dyDescent="0.3">
      <c r="A1126">
        <v>2026</v>
      </c>
      <c r="B1126">
        <v>1</v>
      </c>
      <c r="C1126" t="s">
        <v>291</v>
      </c>
      <c r="D1126" t="s">
        <v>292</v>
      </c>
      <c r="E1126" t="str">
        <f>TEXT(28739553000180,"00000000000000")</f>
        <v>28739553000180</v>
      </c>
      <c r="F1126" t="s">
        <v>643</v>
      </c>
      <c r="G1126" t="s">
        <v>204</v>
      </c>
      <c r="H1126">
        <v>90099753</v>
      </c>
      <c r="I1126" t="s">
        <v>799</v>
      </c>
      <c r="J1126">
        <v>4</v>
      </c>
      <c r="K1126">
        <v>30</v>
      </c>
    </row>
    <row r="1127" spans="1:11" x14ac:dyDescent="0.3">
      <c r="A1127">
        <v>2026</v>
      </c>
      <c r="B1127">
        <v>1</v>
      </c>
      <c r="C1127" t="s">
        <v>291</v>
      </c>
      <c r="D1127" t="s">
        <v>292</v>
      </c>
      <c r="E1127" t="str">
        <f>TEXT(28739553000180,"00000000000000")</f>
        <v>28739553000180</v>
      </c>
      <c r="F1127" t="s">
        <v>643</v>
      </c>
      <c r="G1127" t="s">
        <v>204</v>
      </c>
      <c r="H1127">
        <v>90123085</v>
      </c>
      <c r="I1127" t="s">
        <v>800</v>
      </c>
      <c r="J1127">
        <v>2</v>
      </c>
      <c r="K1127">
        <v>31.28</v>
      </c>
    </row>
    <row r="1128" spans="1:11" x14ac:dyDescent="0.3">
      <c r="A1128">
        <v>2026</v>
      </c>
      <c r="B1128">
        <v>1</v>
      </c>
      <c r="C1128" t="s">
        <v>291</v>
      </c>
      <c r="D1128" t="s">
        <v>292</v>
      </c>
      <c r="E1128" t="str">
        <f>TEXT(28739553000180,"00000000000000")</f>
        <v>28739553000180</v>
      </c>
      <c r="F1128" t="s">
        <v>643</v>
      </c>
      <c r="G1128" t="s">
        <v>204</v>
      </c>
      <c r="H1128">
        <v>90123093</v>
      </c>
      <c r="I1128" t="s">
        <v>801</v>
      </c>
      <c r="J1128">
        <v>127</v>
      </c>
      <c r="K1128">
        <v>1460.5</v>
      </c>
    </row>
    <row r="1129" spans="1:11" x14ac:dyDescent="0.3">
      <c r="A1129">
        <v>2026</v>
      </c>
      <c r="B1129">
        <v>1</v>
      </c>
      <c r="C1129" t="s">
        <v>291</v>
      </c>
      <c r="D1129" t="s">
        <v>292</v>
      </c>
      <c r="E1129" t="str">
        <f>TEXT(28739553000180,"00000000000000")</f>
        <v>28739553000180</v>
      </c>
      <c r="F1129" t="s">
        <v>643</v>
      </c>
      <c r="G1129" t="s">
        <v>204</v>
      </c>
      <c r="H1129">
        <v>90123107</v>
      </c>
      <c r="I1129" t="s">
        <v>802</v>
      </c>
      <c r="J1129">
        <v>18</v>
      </c>
      <c r="K1129">
        <v>172.8</v>
      </c>
    </row>
    <row r="1130" spans="1:11" x14ac:dyDescent="0.3">
      <c r="A1130">
        <v>2026</v>
      </c>
      <c r="B1130">
        <v>1</v>
      </c>
      <c r="C1130" t="s">
        <v>291</v>
      </c>
      <c r="D1130" t="s">
        <v>292</v>
      </c>
      <c r="E1130" t="str">
        <f>TEXT(28739553000180,"00000000000000")</f>
        <v>28739553000180</v>
      </c>
      <c r="F1130" t="s">
        <v>643</v>
      </c>
      <c r="G1130" t="s">
        <v>204</v>
      </c>
      <c r="H1130">
        <v>90123115</v>
      </c>
      <c r="I1130" t="s">
        <v>803</v>
      </c>
      <c r="J1130">
        <v>732</v>
      </c>
      <c r="K1130">
        <v>8557.08</v>
      </c>
    </row>
    <row r="1131" spans="1:11" x14ac:dyDescent="0.3">
      <c r="A1131">
        <v>2026</v>
      </c>
      <c r="B1131">
        <v>1</v>
      </c>
      <c r="C1131" t="s">
        <v>291</v>
      </c>
      <c r="D1131" t="s">
        <v>292</v>
      </c>
      <c r="E1131" t="str">
        <f>TEXT(28739553000180,"00000000000000")</f>
        <v>28739553000180</v>
      </c>
      <c r="F1131" t="s">
        <v>643</v>
      </c>
      <c r="G1131" t="s">
        <v>204</v>
      </c>
      <c r="H1131">
        <v>90123190</v>
      </c>
      <c r="I1131" t="s">
        <v>804</v>
      </c>
      <c r="J1131">
        <v>243</v>
      </c>
      <c r="K1131">
        <v>2471.31</v>
      </c>
    </row>
    <row r="1132" spans="1:11" x14ac:dyDescent="0.3">
      <c r="A1132">
        <v>2026</v>
      </c>
      <c r="B1132">
        <v>1</v>
      </c>
      <c r="C1132" t="s">
        <v>291</v>
      </c>
      <c r="D1132" t="s">
        <v>292</v>
      </c>
      <c r="E1132" t="str">
        <f>TEXT(28739553000180,"00000000000000")</f>
        <v>28739553000180</v>
      </c>
      <c r="F1132" t="s">
        <v>643</v>
      </c>
      <c r="G1132" t="s">
        <v>204</v>
      </c>
      <c r="H1132">
        <v>90123220</v>
      </c>
      <c r="I1132" t="s">
        <v>805</v>
      </c>
      <c r="J1132">
        <v>12</v>
      </c>
      <c r="K1132">
        <v>150.84</v>
      </c>
    </row>
    <row r="1133" spans="1:11" x14ac:dyDescent="0.3">
      <c r="A1133">
        <v>2026</v>
      </c>
      <c r="B1133">
        <v>1</v>
      </c>
      <c r="C1133" t="s">
        <v>291</v>
      </c>
      <c r="D1133" t="s">
        <v>292</v>
      </c>
      <c r="E1133" t="str">
        <f>TEXT(28739553000180,"00000000000000")</f>
        <v>28739553000180</v>
      </c>
      <c r="F1133" t="s">
        <v>643</v>
      </c>
      <c r="G1133" t="s">
        <v>204</v>
      </c>
      <c r="H1133">
        <v>90135105</v>
      </c>
      <c r="I1133" t="s">
        <v>806</v>
      </c>
      <c r="J1133">
        <v>229</v>
      </c>
      <c r="K1133">
        <v>112.13</v>
      </c>
    </row>
    <row r="1134" spans="1:11" x14ac:dyDescent="0.3">
      <c r="A1134">
        <v>2026</v>
      </c>
      <c r="B1134">
        <v>1</v>
      </c>
      <c r="C1134" t="s">
        <v>291</v>
      </c>
      <c r="D1134" t="s">
        <v>292</v>
      </c>
      <c r="E1134" t="str">
        <f>TEXT(28739553000180,"00000000000000")</f>
        <v>28739553000180</v>
      </c>
      <c r="F1134" t="s">
        <v>643</v>
      </c>
      <c r="G1134" t="s">
        <v>204</v>
      </c>
      <c r="H1134">
        <v>90137485</v>
      </c>
      <c r="I1134" t="s">
        <v>807</v>
      </c>
      <c r="J1134">
        <v>273</v>
      </c>
      <c r="K1134">
        <v>1184.82</v>
      </c>
    </row>
    <row r="1135" spans="1:11" x14ac:dyDescent="0.3">
      <c r="A1135">
        <v>2026</v>
      </c>
      <c r="B1135">
        <v>1</v>
      </c>
      <c r="C1135" t="s">
        <v>291</v>
      </c>
      <c r="D1135" t="s">
        <v>292</v>
      </c>
      <c r="E1135" t="str">
        <f>TEXT(28739553000180,"00000000000000")</f>
        <v>28739553000180</v>
      </c>
      <c r="F1135" t="s">
        <v>643</v>
      </c>
      <c r="G1135" t="s">
        <v>204</v>
      </c>
      <c r="H1135">
        <v>90169379</v>
      </c>
      <c r="I1135" t="s">
        <v>808</v>
      </c>
      <c r="J1135">
        <v>34</v>
      </c>
      <c r="K1135">
        <v>23.8</v>
      </c>
    </row>
    <row r="1136" spans="1:11" x14ac:dyDescent="0.3">
      <c r="A1136">
        <v>2026</v>
      </c>
      <c r="B1136">
        <v>1</v>
      </c>
      <c r="C1136" t="s">
        <v>291</v>
      </c>
      <c r="D1136" t="s">
        <v>292</v>
      </c>
      <c r="E1136" t="str">
        <f>TEXT(28739553000180,"00000000000000")</f>
        <v>28739553000180</v>
      </c>
      <c r="F1136" t="s">
        <v>643</v>
      </c>
      <c r="G1136" t="s">
        <v>204</v>
      </c>
      <c r="H1136">
        <v>90180526</v>
      </c>
      <c r="I1136" t="s">
        <v>809</v>
      </c>
      <c r="J1136">
        <v>1</v>
      </c>
      <c r="K1136">
        <v>31.61</v>
      </c>
    </row>
    <row r="1137" spans="1:11" x14ac:dyDescent="0.3">
      <c r="A1137">
        <v>2026</v>
      </c>
      <c r="B1137">
        <v>1</v>
      </c>
      <c r="C1137" t="s">
        <v>291</v>
      </c>
      <c r="D1137" t="s">
        <v>292</v>
      </c>
      <c r="E1137" t="str">
        <f>TEXT(28739553000180,"00000000000000")</f>
        <v>28739553000180</v>
      </c>
      <c r="F1137" t="s">
        <v>643</v>
      </c>
      <c r="G1137" t="s">
        <v>204</v>
      </c>
      <c r="H1137">
        <v>90192877</v>
      </c>
      <c r="I1137" t="s">
        <v>810</v>
      </c>
      <c r="J1137">
        <v>64</v>
      </c>
      <c r="K1137">
        <v>229.12</v>
      </c>
    </row>
    <row r="1138" spans="1:11" x14ac:dyDescent="0.3">
      <c r="A1138">
        <v>2026</v>
      </c>
      <c r="B1138">
        <v>1</v>
      </c>
      <c r="C1138" t="s">
        <v>291</v>
      </c>
      <c r="D1138" t="s">
        <v>292</v>
      </c>
      <c r="E1138" t="str">
        <f>TEXT(28739553000180,"00000000000000")</f>
        <v>28739553000180</v>
      </c>
      <c r="F1138" t="s">
        <v>643</v>
      </c>
      <c r="G1138" t="s">
        <v>204</v>
      </c>
      <c r="H1138">
        <v>90206967</v>
      </c>
      <c r="I1138" t="s">
        <v>811</v>
      </c>
      <c r="J1138">
        <v>72</v>
      </c>
      <c r="K1138">
        <v>416.16</v>
      </c>
    </row>
    <row r="1139" spans="1:11" x14ac:dyDescent="0.3">
      <c r="A1139">
        <v>2026</v>
      </c>
      <c r="B1139">
        <v>1</v>
      </c>
      <c r="C1139" t="s">
        <v>291</v>
      </c>
      <c r="D1139" t="s">
        <v>292</v>
      </c>
      <c r="E1139" t="str">
        <f>TEXT(28739553000180,"00000000000000")</f>
        <v>28739553000180</v>
      </c>
      <c r="F1139" t="s">
        <v>643</v>
      </c>
      <c r="G1139" t="s">
        <v>204</v>
      </c>
      <c r="H1139">
        <v>90207572</v>
      </c>
      <c r="I1139" t="s">
        <v>812</v>
      </c>
      <c r="J1139">
        <v>49</v>
      </c>
      <c r="K1139">
        <v>658.56</v>
      </c>
    </row>
    <row r="1140" spans="1:11" x14ac:dyDescent="0.3">
      <c r="A1140">
        <v>2026</v>
      </c>
      <c r="B1140">
        <v>1</v>
      </c>
      <c r="C1140" t="s">
        <v>291</v>
      </c>
      <c r="D1140" t="s">
        <v>292</v>
      </c>
      <c r="E1140" t="str">
        <f>TEXT(28739553000180,"00000000000000")</f>
        <v>28739553000180</v>
      </c>
      <c r="F1140" t="s">
        <v>643</v>
      </c>
      <c r="G1140" t="s">
        <v>204</v>
      </c>
      <c r="H1140">
        <v>90207769</v>
      </c>
      <c r="I1140" t="s">
        <v>813</v>
      </c>
      <c r="J1140">
        <v>241</v>
      </c>
      <c r="K1140">
        <v>5776.77</v>
      </c>
    </row>
    <row r="1141" spans="1:11" x14ac:dyDescent="0.3">
      <c r="A1141">
        <v>2026</v>
      </c>
      <c r="B1141">
        <v>1</v>
      </c>
      <c r="C1141" t="s">
        <v>291</v>
      </c>
      <c r="D1141" t="s">
        <v>292</v>
      </c>
      <c r="E1141" t="str">
        <f>TEXT(28739553000180,"00000000000000")</f>
        <v>28739553000180</v>
      </c>
      <c r="F1141" t="s">
        <v>643</v>
      </c>
      <c r="G1141" t="s">
        <v>204</v>
      </c>
      <c r="H1141">
        <v>90208501</v>
      </c>
      <c r="I1141" t="s">
        <v>814</v>
      </c>
      <c r="J1141">
        <v>4</v>
      </c>
      <c r="K1141">
        <v>8.64</v>
      </c>
    </row>
    <row r="1142" spans="1:11" x14ac:dyDescent="0.3">
      <c r="A1142">
        <v>2026</v>
      </c>
      <c r="B1142">
        <v>1</v>
      </c>
      <c r="C1142" t="s">
        <v>291</v>
      </c>
      <c r="D1142" t="s">
        <v>292</v>
      </c>
      <c r="E1142" t="str">
        <f>TEXT(28739553000180,"00000000000000")</f>
        <v>28739553000180</v>
      </c>
      <c r="F1142" t="s">
        <v>643</v>
      </c>
      <c r="G1142" t="s">
        <v>204</v>
      </c>
      <c r="H1142">
        <v>90208650</v>
      </c>
      <c r="I1142" t="s">
        <v>815</v>
      </c>
      <c r="J1142">
        <v>1</v>
      </c>
      <c r="K1142">
        <v>247.87</v>
      </c>
    </row>
    <row r="1143" spans="1:11" x14ac:dyDescent="0.3">
      <c r="A1143">
        <v>2026</v>
      </c>
      <c r="B1143">
        <v>1</v>
      </c>
      <c r="C1143" t="s">
        <v>291</v>
      </c>
      <c r="D1143" t="s">
        <v>292</v>
      </c>
      <c r="E1143" t="str">
        <f>TEXT(28739553000180,"00000000000000")</f>
        <v>28739553000180</v>
      </c>
      <c r="F1143" t="s">
        <v>643</v>
      </c>
      <c r="G1143" t="s">
        <v>204</v>
      </c>
      <c r="H1143">
        <v>90209915</v>
      </c>
      <c r="I1143" t="s">
        <v>816</v>
      </c>
      <c r="J1143">
        <v>1</v>
      </c>
      <c r="K1143">
        <v>37.159999999999997</v>
      </c>
    </row>
    <row r="1144" spans="1:11" x14ac:dyDescent="0.3">
      <c r="A1144">
        <v>2026</v>
      </c>
      <c r="B1144">
        <v>1</v>
      </c>
      <c r="C1144" t="s">
        <v>291</v>
      </c>
      <c r="D1144" t="s">
        <v>292</v>
      </c>
      <c r="E1144" t="str">
        <f>TEXT(28739553000180,"00000000000000")</f>
        <v>28739553000180</v>
      </c>
      <c r="F1144" t="s">
        <v>643</v>
      </c>
      <c r="G1144" t="s">
        <v>204</v>
      </c>
      <c r="H1144">
        <v>90217012</v>
      </c>
      <c r="I1144" t="s">
        <v>817</v>
      </c>
      <c r="J1144">
        <v>260</v>
      </c>
      <c r="K1144">
        <v>439.4</v>
      </c>
    </row>
    <row r="1145" spans="1:11" x14ac:dyDescent="0.3">
      <c r="A1145">
        <v>2026</v>
      </c>
      <c r="B1145">
        <v>1</v>
      </c>
      <c r="C1145" t="s">
        <v>291</v>
      </c>
      <c r="D1145" t="s">
        <v>292</v>
      </c>
      <c r="E1145" t="str">
        <f>TEXT(28739553000180,"00000000000000")</f>
        <v>28739553000180</v>
      </c>
      <c r="F1145" t="s">
        <v>643</v>
      </c>
      <c r="G1145" t="s">
        <v>204</v>
      </c>
      <c r="H1145">
        <v>90221559</v>
      </c>
      <c r="I1145" t="s">
        <v>818</v>
      </c>
      <c r="J1145">
        <v>44</v>
      </c>
      <c r="K1145">
        <v>92.4</v>
      </c>
    </row>
    <row r="1146" spans="1:11" x14ac:dyDescent="0.3">
      <c r="A1146">
        <v>2026</v>
      </c>
      <c r="B1146">
        <v>1</v>
      </c>
      <c r="C1146" t="s">
        <v>291</v>
      </c>
      <c r="D1146" t="s">
        <v>292</v>
      </c>
      <c r="E1146" t="str">
        <f>TEXT(28739553000180,"00000000000000")</f>
        <v>28739553000180</v>
      </c>
      <c r="F1146" t="s">
        <v>643</v>
      </c>
      <c r="G1146" t="s">
        <v>204</v>
      </c>
      <c r="H1146">
        <v>90222989</v>
      </c>
      <c r="I1146" t="s">
        <v>819</v>
      </c>
      <c r="J1146">
        <v>36</v>
      </c>
      <c r="K1146">
        <v>47.52</v>
      </c>
    </row>
    <row r="1147" spans="1:11" x14ac:dyDescent="0.3">
      <c r="A1147">
        <v>2026</v>
      </c>
      <c r="B1147">
        <v>1</v>
      </c>
      <c r="C1147" t="s">
        <v>291</v>
      </c>
      <c r="D1147" t="s">
        <v>292</v>
      </c>
      <c r="E1147" t="str">
        <f>TEXT(28739553000180,"00000000000000")</f>
        <v>28739553000180</v>
      </c>
      <c r="F1147" t="s">
        <v>643</v>
      </c>
      <c r="G1147" t="s">
        <v>204</v>
      </c>
      <c r="H1147">
        <v>90241355</v>
      </c>
      <c r="I1147" t="s">
        <v>820</v>
      </c>
      <c r="J1147">
        <v>600</v>
      </c>
      <c r="K1147">
        <v>162</v>
      </c>
    </row>
    <row r="1148" spans="1:11" x14ac:dyDescent="0.3">
      <c r="A1148">
        <v>2026</v>
      </c>
      <c r="B1148">
        <v>1</v>
      </c>
      <c r="C1148" t="s">
        <v>291</v>
      </c>
      <c r="D1148" t="s">
        <v>292</v>
      </c>
      <c r="E1148" t="str">
        <f>TEXT(28739553000180,"00000000000000")</f>
        <v>28739553000180</v>
      </c>
      <c r="F1148" t="s">
        <v>643</v>
      </c>
      <c r="G1148" t="s">
        <v>204</v>
      </c>
      <c r="H1148">
        <v>90252667</v>
      </c>
      <c r="I1148" t="s">
        <v>821</v>
      </c>
      <c r="J1148">
        <v>4</v>
      </c>
      <c r="K1148">
        <v>2.04</v>
      </c>
    </row>
    <row r="1149" spans="1:11" x14ac:dyDescent="0.3">
      <c r="A1149">
        <v>2026</v>
      </c>
      <c r="B1149">
        <v>1</v>
      </c>
      <c r="C1149" t="s">
        <v>291</v>
      </c>
      <c r="D1149" t="s">
        <v>292</v>
      </c>
      <c r="E1149" t="str">
        <f>TEXT(28739553000180,"00000000000000")</f>
        <v>28739553000180</v>
      </c>
      <c r="F1149" t="s">
        <v>643</v>
      </c>
      <c r="G1149" t="s">
        <v>204</v>
      </c>
      <c r="H1149">
        <v>90259270</v>
      </c>
      <c r="I1149" t="s">
        <v>822</v>
      </c>
      <c r="J1149">
        <v>62</v>
      </c>
      <c r="K1149">
        <v>2715.6</v>
      </c>
    </row>
    <row r="1150" spans="1:11" x14ac:dyDescent="0.3">
      <c r="A1150">
        <v>2026</v>
      </c>
      <c r="B1150">
        <v>1</v>
      </c>
      <c r="C1150" t="s">
        <v>291</v>
      </c>
      <c r="D1150" t="s">
        <v>292</v>
      </c>
      <c r="E1150" t="str">
        <f>TEXT(28739553000180,"00000000000000")</f>
        <v>28739553000180</v>
      </c>
      <c r="F1150" t="s">
        <v>643</v>
      </c>
      <c r="G1150" t="s">
        <v>204</v>
      </c>
      <c r="H1150">
        <v>90282302</v>
      </c>
      <c r="I1150" t="s">
        <v>823</v>
      </c>
      <c r="J1150">
        <v>52</v>
      </c>
      <c r="K1150">
        <v>10508.68</v>
      </c>
    </row>
    <row r="1151" spans="1:11" x14ac:dyDescent="0.3">
      <c r="A1151">
        <v>2026</v>
      </c>
      <c r="B1151">
        <v>1</v>
      </c>
      <c r="C1151" t="s">
        <v>291</v>
      </c>
      <c r="D1151" t="s">
        <v>292</v>
      </c>
      <c r="E1151" t="str">
        <f>TEXT(28739553000180,"00000000000000")</f>
        <v>28739553000180</v>
      </c>
      <c r="F1151" t="s">
        <v>643</v>
      </c>
      <c r="G1151" t="s">
        <v>204</v>
      </c>
      <c r="H1151">
        <v>90288610</v>
      </c>
      <c r="I1151" t="s">
        <v>824</v>
      </c>
      <c r="J1151">
        <v>8</v>
      </c>
      <c r="K1151">
        <v>6.96</v>
      </c>
    </row>
    <row r="1152" spans="1:11" x14ac:dyDescent="0.3">
      <c r="A1152">
        <v>2026</v>
      </c>
      <c r="B1152">
        <v>1</v>
      </c>
      <c r="C1152" t="s">
        <v>291</v>
      </c>
      <c r="D1152" t="s">
        <v>292</v>
      </c>
      <c r="E1152" t="str">
        <f>TEXT(28739553000180,"00000000000000")</f>
        <v>28739553000180</v>
      </c>
      <c r="F1152" t="s">
        <v>643</v>
      </c>
      <c r="G1152" t="s">
        <v>204</v>
      </c>
      <c r="H1152">
        <v>90289919</v>
      </c>
      <c r="I1152" t="s">
        <v>825</v>
      </c>
      <c r="J1152">
        <v>12</v>
      </c>
      <c r="K1152">
        <v>12.96</v>
      </c>
    </row>
    <row r="1153" spans="1:11" x14ac:dyDescent="0.3">
      <c r="A1153">
        <v>2026</v>
      </c>
      <c r="B1153">
        <v>1</v>
      </c>
      <c r="C1153" t="s">
        <v>291</v>
      </c>
      <c r="D1153" t="s">
        <v>292</v>
      </c>
      <c r="E1153" t="str">
        <f>TEXT(28739553000180,"00000000000000")</f>
        <v>28739553000180</v>
      </c>
      <c r="F1153" t="s">
        <v>643</v>
      </c>
      <c r="G1153" t="s">
        <v>204</v>
      </c>
      <c r="H1153">
        <v>90289943</v>
      </c>
      <c r="I1153" t="s">
        <v>826</v>
      </c>
      <c r="J1153">
        <v>166</v>
      </c>
      <c r="K1153">
        <v>854.9</v>
      </c>
    </row>
    <row r="1154" spans="1:11" x14ac:dyDescent="0.3">
      <c r="A1154">
        <v>2026</v>
      </c>
      <c r="B1154">
        <v>1</v>
      </c>
      <c r="C1154" t="s">
        <v>291</v>
      </c>
      <c r="D1154" t="s">
        <v>292</v>
      </c>
      <c r="E1154" t="str">
        <f>TEXT(28739553000180,"00000000000000")</f>
        <v>28739553000180</v>
      </c>
      <c r="F1154" t="s">
        <v>643</v>
      </c>
      <c r="G1154" t="s">
        <v>204</v>
      </c>
      <c r="H1154">
        <v>90299027</v>
      </c>
      <c r="I1154" t="s">
        <v>827</v>
      </c>
      <c r="J1154">
        <v>76</v>
      </c>
      <c r="K1154">
        <v>138.32</v>
      </c>
    </row>
    <row r="1155" spans="1:11" x14ac:dyDescent="0.3">
      <c r="A1155">
        <v>2026</v>
      </c>
      <c r="B1155">
        <v>1</v>
      </c>
      <c r="C1155" t="s">
        <v>291</v>
      </c>
      <c r="D1155" t="s">
        <v>292</v>
      </c>
      <c r="E1155" t="str">
        <f>TEXT(28739553000180,"00000000000000")</f>
        <v>28739553000180</v>
      </c>
      <c r="F1155" t="s">
        <v>643</v>
      </c>
      <c r="G1155" t="s">
        <v>204</v>
      </c>
      <c r="H1155">
        <v>90300114</v>
      </c>
      <c r="I1155" t="s">
        <v>828</v>
      </c>
      <c r="J1155">
        <v>25</v>
      </c>
      <c r="K1155">
        <v>164</v>
      </c>
    </row>
    <row r="1156" spans="1:11" x14ac:dyDescent="0.3">
      <c r="A1156">
        <v>2026</v>
      </c>
      <c r="B1156">
        <v>1</v>
      </c>
      <c r="C1156" t="s">
        <v>291</v>
      </c>
      <c r="D1156" t="s">
        <v>292</v>
      </c>
      <c r="E1156" t="str">
        <f>TEXT(28739553000180,"00000000000000")</f>
        <v>28739553000180</v>
      </c>
      <c r="F1156" t="s">
        <v>643</v>
      </c>
      <c r="G1156" t="s">
        <v>204</v>
      </c>
      <c r="H1156">
        <v>90312600</v>
      </c>
      <c r="I1156" t="s">
        <v>829</v>
      </c>
      <c r="J1156">
        <v>86</v>
      </c>
      <c r="K1156">
        <v>4263.0200000000004</v>
      </c>
    </row>
    <row r="1157" spans="1:11" x14ac:dyDescent="0.3">
      <c r="A1157">
        <v>2026</v>
      </c>
      <c r="B1157">
        <v>1</v>
      </c>
      <c r="C1157" t="s">
        <v>291</v>
      </c>
      <c r="D1157" t="s">
        <v>292</v>
      </c>
      <c r="E1157" t="str">
        <f>TEXT(28739553000180,"00000000000000")</f>
        <v>28739553000180</v>
      </c>
      <c r="F1157" t="s">
        <v>643</v>
      </c>
      <c r="G1157" t="s">
        <v>204</v>
      </c>
      <c r="H1157">
        <v>90315855</v>
      </c>
      <c r="I1157" t="s">
        <v>830</v>
      </c>
      <c r="J1157">
        <v>1</v>
      </c>
      <c r="K1157">
        <v>0.33</v>
      </c>
    </row>
    <row r="1158" spans="1:11" x14ac:dyDescent="0.3">
      <c r="A1158">
        <v>2026</v>
      </c>
      <c r="B1158">
        <v>1</v>
      </c>
      <c r="C1158" t="s">
        <v>291</v>
      </c>
      <c r="D1158" t="s">
        <v>292</v>
      </c>
      <c r="E1158" t="str">
        <f>TEXT(28739553000180,"00000000000000")</f>
        <v>28739553000180</v>
      </c>
      <c r="F1158" t="s">
        <v>643</v>
      </c>
      <c r="G1158" t="s">
        <v>204</v>
      </c>
      <c r="H1158">
        <v>90334191</v>
      </c>
      <c r="I1158" t="s">
        <v>831</v>
      </c>
      <c r="J1158">
        <v>460</v>
      </c>
      <c r="K1158">
        <v>418.6</v>
      </c>
    </row>
    <row r="1159" spans="1:11" x14ac:dyDescent="0.3">
      <c r="A1159">
        <v>2026</v>
      </c>
      <c r="B1159">
        <v>1</v>
      </c>
      <c r="C1159" t="s">
        <v>291</v>
      </c>
      <c r="D1159" t="s">
        <v>292</v>
      </c>
      <c r="E1159" t="str">
        <f>TEXT(28739553000180,"00000000000000")</f>
        <v>28739553000180</v>
      </c>
      <c r="F1159" t="s">
        <v>643</v>
      </c>
      <c r="G1159" t="s">
        <v>204</v>
      </c>
      <c r="H1159">
        <v>90335155</v>
      </c>
      <c r="I1159" t="s">
        <v>832</v>
      </c>
      <c r="J1159">
        <v>1</v>
      </c>
      <c r="K1159">
        <v>25.43</v>
      </c>
    </row>
    <row r="1160" spans="1:11" x14ac:dyDescent="0.3">
      <c r="A1160">
        <v>2026</v>
      </c>
      <c r="B1160">
        <v>1</v>
      </c>
      <c r="C1160" t="s">
        <v>291</v>
      </c>
      <c r="D1160" t="s">
        <v>292</v>
      </c>
      <c r="E1160" t="str">
        <f>TEXT(28739553000180,"00000000000000")</f>
        <v>28739553000180</v>
      </c>
      <c r="F1160" t="s">
        <v>643</v>
      </c>
      <c r="G1160" t="s">
        <v>204</v>
      </c>
      <c r="H1160">
        <v>90338219</v>
      </c>
      <c r="I1160" t="s">
        <v>833</v>
      </c>
      <c r="J1160">
        <v>2</v>
      </c>
      <c r="K1160">
        <v>121.54</v>
      </c>
    </row>
    <row r="1161" spans="1:11" x14ac:dyDescent="0.3">
      <c r="A1161">
        <v>2026</v>
      </c>
      <c r="B1161">
        <v>1</v>
      </c>
      <c r="C1161" t="s">
        <v>291</v>
      </c>
      <c r="D1161" t="s">
        <v>292</v>
      </c>
      <c r="E1161" t="str">
        <f>TEXT(28739553000180,"00000000000000")</f>
        <v>28739553000180</v>
      </c>
      <c r="F1161" t="s">
        <v>643</v>
      </c>
      <c r="G1161" t="s">
        <v>204</v>
      </c>
      <c r="H1161">
        <v>90347137</v>
      </c>
      <c r="I1161" t="s">
        <v>834</v>
      </c>
      <c r="J1161">
        <v>32</v>
      </c>
      <c r="K1161">
        <v>1478.4</v>
      </c>
    </row>
    <row r="1162" spans="1:11" x14ac:dyDescent="0.3">
      <c r="A1162">
        <v>2026</v>
      </c>
      <c r="B1162">
        <v>1</v>
      </c>
      <c r="C1162" t="s">
        <v>291</v>
      </c>
      <c r="D1162" t="s">
        <v>292</v>
      </c>
      <c r="E1162" t="str">
        <f>TEXT(28739553000180,"00000000000000")</f>
        <v>28739553000180</v>
      </c>
      <c r="F1162" t="s">
        <v>643</v>
      </c>
      <c r="G1162" t="s">
        <v>204</v>
      </c>
      <c r="H1162">
        <v>90347200</v>
      </c>
      <c r="I1162" t="s">
        <v>835</v>
      </c>
      <c r="J1162">
        <v>14</v>
      </c>
      <c r="K1162">
        <v>10701.74</v>
      </c>
    </row>
    <row r="1163" spans="1:11" x14ac:dyDescent="0.3">
      <c r="A1163">
        <v>2026</v>
      </c>
      <c r="B1163">
        <v>1</v>
      </c>
      <c r="C1163" t="s">
        <v>291</v>
      </c>
      <c r="D1163" t="s">
        <v>292</v>
      </c>
      <c r="E1163" t="str">
        <f>TEXT(28739553000180,"00000000000000")</f>
        <v>28739553000180</v>
      </c>
      <c r="F1163" t="s">
        <v>643</v>
      </c>
      <c r="G1163" t="s">
        <v>204</v>
      </c>
      <c r="H1163">
        <v>90348540</v>
      </c>
      <c r="I1163" t="s">
        <v>836</v>
      </c>
      <c r="J1163">
        <v>72</v>
      </c>
      <c r="K1163">
        <v>329.04</v>
      </c>
    </row>
    <row r="1164" spans="1:11" x14ac:dyDescent="0.3">
      <c r="A1164">
        <v>2026</v>
      </c>
      <c r="B1164">
        <v>1</v>
      </c>
      <c r="C1164" t="s">
        <v>291</v>
      </c>
      <c r="D1164" t="s">
        <v>292</v>
      </c>
      <c r="E1164" t="str">
        <f>TEXT(28739553000180,"00000000000000")</f>
        <v>28739553000180</v>
      </c>
      <c r="F1164" t="s">
        <v>643</v>
      </c>
      <c r="G1164" t="s">
        <v>204</v>
      </c>
      <c r="H1164">
        <v>90351932</v>
      </c>
      <c r="I1164" t="s">
        <v>837</v>
      </c>
      <c r="J1164">
        <v>9</v>
      </c>
      <c r="K1164">
        <v>26.64</v>
      </c>
    </row>
    <row r="1165" spans="1:11" x14ac:dyDescent="0.3">
      <c r="A1165">
        <v>2026</v>
      </c>
      <c r="B1165">
        <v>1</v>
      </c>
      <c r="C1165" t="s">
        <v>291</v>
      </c>
      <c r="D1165" t="s">
        <v>292</v>
      </c>
      <c r="E1165" t="str">
        <f>TEXT(28739553000180,"00000000000000")</f>
        <v>28739553000180</v>
      </c>
      <c r="F1165" t="s">
        <v>643</v>
      </c>
      <c r="G1165" t="s">
        <v>204</v>
      </c>
      <c r="H1165">
        <v>90355466</v>
      </c>
      <c r="I1165" t="s">
        <v>838</v>
      </c>
      <c r="J1165">
        <v>166</v>
      </c>
      <c r="K1165">
        <v>325.36</v>
      </c>
    </row>
    <row r="1166" spans="1:11" x14ac:dyDescent="0.3">
      <c r="A1166">
        <v>2026</v>
      </c>
      <c r="B1166">
        <v>1</v>
      </c>
      <c r="C1166" t="s">
        <v>291</v>
      </c>
      <c r="D1166" t="s">
        <v>292</v>
      </c>
      <c r="E1166" t="str">
        <f>TEXT(28739553000180,"00000000000000")</f>
        <v>28739553000180</v>
      </c>
      <c r="F1166" t="s">
        <v>643</v>
      </c>
      <c r="G1166" t="s">
        <v>204</v>
      </c>
      <c r="H1166">
        <v>90358619</v>
      </c>
      <c r="I1166" t="s">
        <v>839</v>
      </c>
      <c r="J1166">
        <v>2</v>
      </c>
      <c r="K1166">
        <v>440.78</v>
      </c>
    </row>
    <row r="1167" spans="1:11" x14ac:dyDescent="0.3">
      <c r="A1167">
        <v>2026</v>
      </c>
      <c r="B1167">
        <v>1</v>
      </c>
      <c r="C1167" t="s">
        <v>291</v>
      </c>
      <c r="D1167" t="s">
        <v>292</v>
      </c>
      <c r="E1167" t="str">
        <f>TEXT(28739553000180,"00000000000000")</f>
        <v>28739553000180</v>
      </c>
      <c r="F1167" t="s">
        <v>643</v>
      </c>
      <c r="G1167" t="s">
        <v>204</v>
      </c>
      <c r="H1167">
        <v>90363663</v>
      </c>
      <c r="I1167" t="s">
        <v>840</v>
      </c>
      <c r="J1167">
        <v>75</v>
      </c>
      <c r="K1167">
        <v>165</v>
      </c>
    </row>
    <row r="1168" spans="1:11" x14ac:dyDescent="0.3">
      <c r="A1168">
        <v>2026</v>
      </c>
      <c r="B1168">
        <v>1</v>
      </c>
      <c r="C1168" t="s">
        <v>291</v>
      </c>
      <c r="D1168" t="s">
        <v>292</v>
      </c>
      <c r="E1168" t="str">
        <f>TEXT(28739553000180,"00000000000000")</f>
        <v>28739553000180</v>
      </c>
      <c r="F1168" t="s">
        <v>643</v>
      </c>
      <c r="G1168" t="s">
        <v>204</v>
      </c>
      <c r="H1168">
        <v>90364090</v>
      </c>
      <c r="I1168" t="s">
        <v>841</v>
      </c>
      <c r="J1168">
        <v>1</v>
      </c>
      <c r="K1168">
        <v>570.36</v>
      </c>
    </row>
    <row r="1169" spans="1:11" x14ac:dyDescent="0.3">
      <c r="A1169">
        <v>2026</v>
      </c>
      <c r="B1169">
        <v>1</v>
      </c>
      <c r="C1169" t="s">
        <v>291</v>
      </c>
      <c r="D1169" t="s">
        <v>292</v>
      </c>
      <c r="E1169" t="str">
        <f>TEXT(28739553000180,"00000000000000")</f>
        <v>28739553000180</v>
      </c>
      <c r="F1169" t="s">
        <v>643</v>
      </c>
      <c r="G1169" t="s">
        <v>204</v>
      </c>
      <c r="H1169">
        <v>90373065</v>
      </c>
      <c r="I1169" t="s">
        <v>842</v>
      </c>
      <c r="J1169">
        <v>26</v>
      </c>
      <c r="K1169">
        <v>202.02</v>
      </c>
    </row>
    <row r="1170" spans="1:11" x14ac:dyDescent="0.3">
      <c r="A1170">
        <v>2026</v>
      </c>
      <c r="B1170">
        <v>1</v>
      </c>
      <c r="C1170" t="s">
        <v>291</v>
      </c>
      <c r="D1170" t="s">
        <v>292</v>
      </c>
      <c r="E1170" t="str">
        <f>TEXT(28739553000180,"00000000000000")</f>
        <v>28739553000180</v>
      </c>
      <c r="F1170" t="s">
        <v>643</v>
      </c>
      <c r="G1170" t="s">
        <v>204</v>
      </c>
      <c r="H1170">
        <v>90375181</v>
      </c>
      <c r="I1170" t="s">
        <v>843</v>
      </c>
      <c r="J1170">
        <v>16</v>
      </c>
      <c r="K1170">
        <v>24.96</v>
      </c>
    </row>
    <row r="1171" spans="1:11" x14ac:dyDescent="0.3">
      <c r="A1171">
        <v>2026</v>
      </c>
      <c r="B1171">
        <v>1</v>
      </c>
      <c r="C1171" t="s">
        <v>291</v>
      </c>
      <c r="D1171" t="s">
        <v>292</v>
      </c>
      <c r="E1171" t="str">
        <f>TEXT(28739553000180,"00000000000000")</f>
        <v>28739553000180</v>
      </c>
      <c r="F1171" t="s">
        <v>643</v>
      </c>
      <c r="G1171" t="s">
        <v>204</v>
      </c>
      <c r="H1171">
        <v>90376170</v>
      </c>
      <c r="I1171" t="s">
        <v>844</v>
      </c>
      <c r="J1171">
        <v>26</v>
      </c>
      <c r="K1171">
        <v>1394.38</v>
      </c>
    </row>
    <row r="1172" spans="1:11" x14ac:dyDescent="0.3">
      <c r="A1172">
        <v>2026</v>
      </c>
      <c r="B1172">
        <v>1</v>
      </c>
      <c r="C1172" t="s">
        <v>291</v>
      </c>
      <c r="D1172" t="s">
        <v>292</v>
      </c>
      <c r="E1172" t="str">
        <f>TEXT(28739553000180,"00000000000000")</f>
        <v>28739553000180</v>
      </c>
      <c r="F1172" t="s">
        <v>643</v>
      </c>
      <c r="G1172" t="s">
        <v>204</v>
      </c>
      <c r="H1172">
        <v>90383648</v>
      </c>
      <c r="I1172" t="s">
        <v>845</v>
      </c>
      <c r="J1172">
        <v>5</v>
      </c>
      <c r="K1172">
        <v>14.7</v>
      </c>
    </row>
    <row r="1173" spans="1:11" x14ac:dyDescent="0.3">
      <c r="A1173">
        <v>2026</v>
      </c>
      <c r="B1173">
        <v>1</v>
      </c>
      <c r="C1173" t="s">
        <v>291</v>
      </c>
      <c r="D1173" t="s">
        <v>292</v>
      </c>
      <c r="E1173" t="str">
        <f>TEXT(28739553000180,"00000000000000")</f>
        <v>28739553000180</v>
      </c>
      <c r="F1173" t="s">
        <v>643</v>
      </c>
      <c r="G1173" t="s">
        <v>204</v>
      </c>
      <c r="H1173">
        <v>90386027</v>
      </c>
      <c r="I1173" t="s">
        <v>846</v>
      </c>
      <c r="J1173">
        <v>1</v>
      </c>
      <c r="K1173">
        <v>1.1200000000000001</v>
      </c>
    </row>
    <row r="1174" spans="1:11" x14ac:dyDescent="0.3">
      <c r="A1174">
        <v>2026</v>
      </c>
      <c r="B1174">
        <v>1</v>
      </c>
      <c r="C1174" t="s">
        <v>291</v>
      </c>
      <c r="D1174" t="s">
        <v>292</v>
      </c>
      <c r="E1174" t="str">
        <f>TEXT(28739553000180,"00000000000000")</f>
        <v>28739553000180</v>
      </c>
      <c r="F1174" t="s">
        <v>643</v>
      </c>
      <c r="G1174" t="s">
        <v>204</v>
      </c>
      <c r="H1174">
        <v>90397800</v>
      </c>
      <c r="I1174" t="s">
        <v>847</v>
      </c>
      <c r="J1174">
        <v>35</v>
      </c>
      <c r="K1174">
        <v>2401.35</v>
      </c>
    </row>
    <row r="1175" spans="1:11" x14ac:dyDescent="0.3">
      <c r="A1175">
        <v>2026</v>
      </c>
      <c r="B1175">
        <v>1</v>
      </c>
      <c r="C1175" t="s">
        <v>291</v>
      </c>
      <c r="D1175" t="s">
        <v>292</v>
      </c>
      <c r="E1175" t="str">
        <f>TEXT(28739553000180,"00000000000000")</f>
        <v>28739553000180</v>
      </c>
      <c r="F1175" t="s">
        <v>643</v>
      </c>
      <c r="G1175" t="s">
        <v>204</v>
      </c>
      <c r="H1175">
        <v>90403339</v>
      </c>
      <c r="I1175" t="s">
        <v>848</v>
      </c>
      <c r="J1175">
        <v>102</v>
      </c>
      <c r="K1175">
        <v>2105.2800000000002</v>
      </c>
    </row>
    <row r="1176" spans="1:11" x14ac:dyDescent="0.3">
      <c r="A1176">
        <v>2026</v>
      </c>
      <c r="B1176">
        <v>1</v>
      </c>
      <c r="C1176" t="s">
        <v>291</v>
      </c>
      <c r="D1176" t="s">
        <v>292</v>
      </c>
      <c r="E1176" t="str">
        <f>TEXT(28739553000180,"00000000000000")</f>
        <v>28739553000180</v>
      </c>
      <c r="F1176" t="s">
        <v>643</v>
      </c>
      <c r="G1176" t="s">
        <v>204</v>
      </c>
      <c r="H1176">
        <v>90404360</v>
      </c>
      <c r="I1176" t="s">
        <v>849</v>
      </c>
      <c r="J1176">
        <v>44</v>
      </c>
      <c r="K1176">
        <v>3095.84</v>
      </c>
    </row>
    <row r="1177" spans="1:11" x14ac:dyDescent="0.3">
      <c r="A1177">
        <v>2026</v>
      </c>
      <c r="B1177">
        <v>1</v>
      </c>
      <c r="C1177" t="s">
        <v>291</v>
      </c>
      <c r="D1177" t="s">
        <v>292</v>
      </c>
      <c r="E1177" t="str">
        <f>TEXT(28739553000180,"00000000000000")</f>
        <v>28739553000180</v>
      </c>
      <c r="F1177" t="s">
        <v>643</v>
      </c>
      <c r="G1177" t="s">
        <v>204</v>
      </c>
      <c r="H1177">
        <v>90407768</v>
      </c>
      <c r="I1177" t="s">
        <v>850</v>
      </c>
      <c r="J1177">
        <v>38</v>
      </c>
      <c r="K1177">
        <v>82.84</v>
      </c>
    </row>
    <row r="1178" spans="1:11" x14ac:dyDescent="0.3">
      <c r="A1178">
        <v>2026</v>
      </c>
      <c r="B1178">
        <v>1</v>
      </c>
      <c r="C1178" t="s">
        <v>291</v>
      </c>
      <c r="D1178" t="s">
        <v>292</v>
      </c>
      <c r="E1178" t="str">
        <f>TEXT(28739553000180,"00000000000000")</f>
        <v>28739553000180</v>
      </c>
      <c r="F1178" t="s">
        <v>643</v>
      </c>
      <c r="G1178" t="s">
        <v>204</v>
      </c>
      <c r="H1178">
        <v>90411706</v>
      </c>
      <c r="I1178" t="s">
        <v>851</v>
      </c>
      <c r="J1178">
        <v>119</v>
      </c>
      <c r="K1178">
        <v>1329.23</v>
      </c>
    </row>
    <row r="1179" spans="1:11" x14ac:dyDescent="0.3">
      <c r="A1179">
        <v>2026</v>
      </c>
      <c r="B1179">
        <v>1</v>
      </c>
      <c r="C1179" t="s">
        <v>291</v>
      </c>
      <c r="D1179" t="s">
        <v>292</v>
      </c>
      <c r="E1179" t="str">
        <f>TEXT(28739553000180,"00000000000000")</f>
        <v>28739553000180</v>
      </c>
      <c r="F1179" t="s">
        <v>643</v>
      </c>
      <c r="G1179" t="s">
        <v>204</v>
      </c>
      <c r="H1179">
        <v>90425570</v>
      </c>
      <c r="I1179" t="s">
        <v>852</v>
      </c>
      <c r="J1179">
        <v>20</v>
      </c>
      <c r="K1179">
        <v>24.8</v>
      </c>
    </row>
    <row r="1180" spans="1:11" x14ac:dyDescent="0.3">
      <c r="A1180">
        <v>2026</v>
      </c>
      <c r="B1180">
        <v>1</v>
      </c>
      <c r="C1180" t="s">
        <v>291</v>
      </c>
      <c r="D1180" t="s">
        <v>292</v>
      </c>
      <c r="E1180" t="str">
        <f>TEXT(28739553000180,"00000000000000")</f>
        <v>28739553000180</v>
      </c>
      <c r="F1180" t="s">
        <v>643</v>
      </c>
      <c r="G1180" t="s">
        <v>204</v>
      </c>
      <c r="H1180">
        <v>90425588</v>
      </c>
      <c r="I1180" t="s">
        <v>853</v>
      </c>
      <c r="J1180">
        <v>226</v>
      </c>
      <c r="K1180">
        <v>271.2</v>
      </c>
    </row>
    <row r="1181" spans="1:11" x14ac:dyDescent="0.3">
      <c r="A1181">
        <v>2026</v>
      </c>
      <c r="B1181">
        <v>1</v>
      </c>
      <c r="C1181" t="s">
        <v>291</v>
      </c>
      <c r="D1181" t="s">
        <v>292</v>
      </c>
      <c r="E1181" t="str">
        <f>TEXT(28739553000180,"00000000000000")</f>
        <v>28739553000180</v>
      </c>
      <c r="F1181" t="s">
        <v>643</v>
      </c>
      <c r="G1181" t="s">
        <v>204</v>
      </c>
      <c r="H1181">
        <v>90425642</v>
      </c>
      <c r="I1181" t="s">
        <v>854</v>
      </c>
      <c r="J1181">
        <v>6</v>
      </c>
      <c r="K1181">
        <v>71.28</v>
      </c>
    </row>
    <row r="1182" spans="1:11" x14ac:dyDescent="0.3">
      <c r="A1182">
        <v>2026</v>
      </c>
      <c r="B1182">
        <v>1</v>
      </c>
      <c r="C1182" t="s">
        <v>291</v>
      </c>
      <c r="D1182" t="s">
        <v>292</v>
      </c>
      <c r="E1182" t="str">
        <f>TEXT(28739553000180,"00000000000000")</f>
        <v>28739553000180</v>
      </c>
      <c r="F1182" t="s">
        <v>643</v>
      </c>
      <c r="G1182" t="s">
        <v>204</v>
      </c>
      <c r="H1182">
        <v>90425707</v>
      </c>
      <c r="I1182" t="s">
        <v>855</v>
      </c>
      <c r="J1182">
        <v>36</v>
      </c>
      <c r="K1182">
        <v>9756</v>
      </c>
    </row>
    <row r="1183" spans="1:11" x14ac:dyDescent="0.3">
      <c r="A1183">
        <v>2026</v>
      </c>
      <c r="B1183">
        <v>1</v>
      </c>
      <c r="C1183" t="s">
        <v>291</v>
      </c>
      <c r="D1183" t="s">
        <v>292</v>
      </c>
      <c r="E1183" t="str">
        <f>TEXT(28739553000180,"00000000000000")</f>
        <v>28739553000180</v>
      </c>
      <c r="F1183" t="s">
        <v>643</v>
      </c>
      <c r="G1183" t="s">
        <v>204</v>
      </c>
      <c r="H1183">
        <v>90435818</v>
      </c>
      <c r="I1183" t="s">
        <v>856</v>
      </c>
      <c r="J1183">
        <v>4</v>
      </c>
      <c r="K1183">
        <v>144.76</v>
      </c>
    </row>
    <row r="1184" spans="1:11" x14ac:dyDescent="0.3">
      <c r="A1184">
        <v>2026</v>
      </c>
      <c r="B1184">
        <v>1</v>
      </c>
      <c r="C1184" t="s">
        <v>291</v>
      </c>
      <c r="D1184" t="s">
        <v>292</v>
      </c>
      <c r="E1184" t="str">
        <f>TEXT(28739553000180,"00000000000000")</f>
        <v>28739553000180</v>
      </c>
      <c r="F1184" t="s">
        <v>643</v>
      </c>
      <c r="G1184" t="s">
        <v>204</v>
      </c>
      <c r="H1184">
        <v>90448391</v>
      </c>
      <c r="I1184" t="s">
        <v>857</v>
      </c>
      <c r="J1184">
        <v>9</v>
      </c>
      <c r="K1184">
        <v>4.41</v>
      </c>
    </row>
    <row r="1185" spans="1:11" x14ac:dyDescent="0.3">
      <c r="A1185">
        <v>2026</v>
      </c>
      <c r="B1185">
        <v>1</v>
      </c>
      <c r="C1185" t="s">
        <v>291</v>
      </c>
      <c r="D1185" t="s">
        <v>292</v>
      </c>
      <c r="E1185" t="str">
        <f>TEXT(28739553000180,"00000000000000")</f>
        <v>28739553000180</v>
      </c>
      <c r="F1185" t="s">
        <v>643</v>
      </c>
      <c r="G1185" t="s">
        <v>204</v>
      </c>
      <c r="H1185">
        <v>90455436</v>
      </c>
      <c r="I1185" t="s">
        <v>858</v>
      </c>
      <c r="J1185">
        <v>5</v>
      </c>
      <c r="K1185">
        <v>273.05</v>
      </c>
    </row>
    <row r="1186" spans="1:11" x14ac:dyDescent="0.3">
      <c r="A1186">
        <v>2026</v>
      </c>
      <c r="B1186">
        <v>1</v>
      </c>
      <c r="C1186" t="s">
        <v>291</v>
      </c>
      <c r="D1186" t="s">
        <v>292</v>
      </c>
      <c r="E1186" t="str">
        <f>TEXT(28739553000180,"00000000000000")</f>
        <v>28739553000180</v>
      </c>
      <c r="F1186" t="s">
        <v>643</v>
      </c>
      <c r="G1186" t="s">
        <v>204</v>
      </c>
      <c r="H1186">
        <v>90458346</v>
      </c>
      <c r="I1186" t="s">
        <v>859</v>
      </c>
      <c r="J1186">
        <v>61</v>
      </c>
      <c r="K1186">
        <v>5372.27</v>
      </c>
    </row>
    <row r="1187" spans="1:11" x14ac:dyDescent="0.3">
      <c r="A1187">
        <v>2026</v>
      </c>
      <c r="B1187">
        <v>1</v>
      </c>
      <c r="C1187" t="s">
        <v>291</v>
      </c>
      <c r="D1187" t="s">
        <v>292</v>
      </c>
      <c r="E1187" t="str">
        <f>TEXT(28739553000180,"00000000000000")</f>
        <v>28739553000180</v>
      </c>
      <c r="F1187" t="s">
        <v>643</v>
      </c>
      <c r="G1187" t="s">
        <v>204</v>
      </c>
      <c r="H1187">
        <v>90478223</v>
      </c>
      <c r="I1187" t="s">
        <v>860</v>
      </c>
      <c r="J1187">
        <v>44</v>
      </c>
      <c r="K1187">
        <v>232.32</v>
      </c>
    </row>
    <row r="1188" spans="1:11" x14ac:dyDescent="0.3">
      <c r="A1188">
        <v>2026</v>
      </c>
      <c r="B1188">
        <v>1</v>
      </c>
      <c r="C1188" t="s">
        <v>291</v>
      </c>
      <c r="D1188" t="s">
        <v>292</v>
      </c>
      <c r="E1188" t="str">
        <f>TEXT(28739553000180,"00000000000000")</f>
        <v>28739553000180</v>
      </c>
      <c r="F1188" t="s">
        <v>643</v>
      </c>
      <c r="G1188" t="s">
        <v>204</v>
      </c>
      <c r="H1188">
        <v>90500466</v>
      </c>
      <c r="I1188" t="s">
        <v>861</v>
      </c>
      <c r="J1188">
        <v>58</v>
      </c>
      <c r="K1188">
        <v>3766.52</v>
      </c>
    </row>
    <row r="1189" spans="1:11" x14ac:dyDescent="0.3">
      <c r="A1189">
        <v>2026</v>
      </c>
      <c r="B1189">
        <v>1</v>
      </c>
      <c r="C1189" t="s">
        <v>291</v>
      </c>
      <c r="D1189" t="s">
        <v>292</v>
      </c>
      <c r="E1189" t="str">
        <f>TEXT(28739553000180,"00000000000000")</f>
        <v>28739553000180</v>
      </c>
      <c r="F1189" t="s">
        <v>643</v>
      </c>
      <c r="G1189" t="s">
        <v>204</v>
      </c>
      <c r="H1189">
        <v>90506642</v>
      </c>
      <c r="I1189" t="s">
        <v>862</v>
      </c>
      <c r="J1189">
        <v>70</v>
      </c>
      <c r="K1189">
        <v>9389.7999999999993</v>
      </c>
    </row>
    <row r="1190" spans="1:11" x14ac:dyDescent="0.3">
      <c r="A1190">
        <v>2026</v>
      </c>
      <c r="B1190">
        <v>1</v>
      </c>
      <c r="C1190" t="s">
        <v>291</v>
      </c>
      <c r="D1190" t="s">
        <v>292</v>
      </c>
      <c r="E1190" t="str">
        <f>TEXT(28739553000180,"00000000000000")</f>
        <v>28739553000180</v>
      </c>
      <c r="F1190" t="s">
        <v>643</v>
      </c>
      <c r="G1190" t="s">
        <v>204</v>
      </c>
      <c r="H1190">
        <v>90511905</v>
      </c>
      <c r="I1190" t="s">
        <v>863</v>
      </c>
      <c r="J1190">
        <v>8</v>
      </c>
      <c r="K1190">
        <v>165.84</v>
      </c>
    </row>
    <row r="1191" spans="1:11" x14ac:dyDescent="0.3">
      <c r="A1191">
        <v>2026</v>
      </c>
      <c r="B1191">
        <v>1</v>
      </c>
      <c r="C1191" t="s">
        <v>291</v>
      </c>
      <c r="D1191" t="s">
        <v>292</v>
      </c>
      <c r="E1191" t="str">
        <f>TEXT(28739553000180,"00000000000000")</f>
        <v>28739553000180</v>
      </c>
      <c r="F1191" t="s">
        <v>643</v>
      </c>
      <c r="G1191" t="s">
        <v>204</v>
      </c>
      <c r="H1191">
        <v>90512278</v>
      </c>
      <c r="I1191" t="s">
        <v>864</v>
      </c>
      <c r="J1191">
        <v>19</v>
      </c>
      <c r="K1191">
        <v>2527</v>
      </c>
    </row>
    <row r="1192" spans="1:11" x14ac:dyDescent="0.3">
      <c r="A1192">
        <v>2026</v>
      </c>
      <c r="B1192">
        <v>1</v>
      </c>
      <c r="C1192" t="s">
        <v>291</v>
      </c>
      <c r="D1192" t="s">
        <v>292</v>
      </c>
      <c r="E1192" t="str">
        <f>TEXT(28739553000180,"00000000000000")</f>
        <v>28739553000180</v>
      </c>
      <c r="F1192" t="s">
        <v>643</v>
      </c>
      <c r="G1192" t="s">
        <v>204</v>
      </c>
      <c r="H1192">
        <v>90518292</v>
      </c>
      <c r="I1192" t="s">
        <v>865</v>
      </c>
      <c r="J1192">
        <v>1</v>
      </c>
      <c r="K1192">
        <v>8.27</v>
      </c>
    </row>
    <row r="1193" spans="1:11" x14ac:dyDescent="0.3">
      <c r="A1193">
        <v>2026</v>
      </c>
      <c r="B1193">
        <v>1</v>
      </c>
      <c r="C1193" t="s">
        <v>291</v>
      </c>
      <c r="D1193" t="s">
        <v>292</v>
      </c>
      <c r="E1193" t="str">
        <f>TEXT(28739553000180,"00000000000000")</f>
        <v>28739553000180</v>
      </c>
      <c r="F1193" t="s">
        <v>643</v>
      </c>
      <c r="G1193" t="s">
        <v>204</v>
      </c>
      <c r="H1193">
        <v>90530845</v>
      </c>
      <c r="I1193" t="s">
        <v>866</v>
      </c>
      <c r="J1193">
        <v>25</v>
      </c>
      <c r="K1193">
        <v>291.5</v>
      </c>
    </row>
    <row r="1194" spans="1:11" x14ac:dyDescent="0.3">
      <c r="A1194">
        <v>2026</v>
      </c>
      <c r="B1194">
        <v>1</v>
      </c>
      <c r="C1194" t="s">
        <v>291</v>
      </c>
      <c r="D1194" t="s">
        <v>292</v>
      </c>
      <c r="E1194" t="str">
        <f>TEXT(28739553000180,"00000000000000")</f>
        <v>28739553000180</v>
      </c>
      <c r="F1194" t="s">
        <v>643</v>
      </c>
      <c r="G1194" t="s">
        <v>204</v>
      </c>
      <c r="H1194">
        <v>90580621</v>
      </c>
      <c r="I1194" t="s">
        <v>867</v>
      </c>
      <c r="J1194">
        <v>73</v>
      </c>
      <c r="K1194">
        <v>37.840000000000003</v>
      </c>
    </row>
    <row r="1195" spans="1:11" x14ac:dyDescent="0.3">
      <c r="A1195">
        <v>2026</v>
      </c>
      <c r="B1195">
        <v>1</v>
      </c>
      <c r="C1195" t="s">
        <v>291</v>
      </c>
      <c r="D1195" t="s">
        <v>292</v>
      </c>
      <c r="E1195" t="str">
        <f>TEXT(28739553000180,"00000000000000")</f>
        <v>28739553000180</v>
      </c>
      <c r="F1195" t="s">
        <v>643</v>
      </c>
      <c r="G1195" t="s">
        <v>204</v>
      </c>
      <c r="H1195">
        <v>90603362</v>
      </c>
      <c r="I1195" t="s">
        <v>868</v>
      </c>
      <c r="J1195">
        <v>3</v>
      </c>
      <c r="K1195">
        <v>2636.16</v>
      </c>
    </row>
    <row r="1196" spans="1:11" x14ac:dyDescent="0.3">
      <c r="A1196">
        <v>2026</v>
      </c>
      <c r="B1196">
        <v>1</v>
      </c>
      <c r="C1196" t="s">
        <v>291</v>
      </c>
      <c r="D1196" t="s">
        <v>292</v>
      </c>
      <c r="E1196" t="str">
        <f>TEXT(35315993000337,"00000000000000")</f>
        <v>35315993000337</v>
      </c>
      <c r="F1196" t="s">
        <v>869</v>
      </c>
      <c r="G1196" t="s">
        <v>123</v>
      </c>
      <c r="H1196">
        <v>99000085</v>
      </c>
      <c r="I1196" t="s">
        <v>870</v>
      </c>
      <c r="J1196">
        <v>17</v>
      </c>
      <c r="K1196">
        <v>446.25</v>
      </c>
    </row>
    <row r="1197" spans="1:11" x14ac:dyDescent="0.3">
      <c r="A1197">
        <v>2026</v>
      </c>
      <c r="B1197">
        <v>1</v>
      </c>
      <c r="C1197" t="s">
        <v>291</v>
      </c>
      <c r="D1197" t="s">
        <v>292</v>
      </c>
      <c r="E1197" t="str">
        <f>TEXT(35315993000337,"00000000000000")</f>
        <v>35315993000337</v>
      </c>
      <c r="F1197" t="s">
        <v>869</v>
      </c>
      <c r="G1197" t="s">
        <v>14</v>
      </c>
      <c r="H1197">
        <v>10502</v>
      </c>
      <c r="I1197" t="s">
        <v>580</v>
      </c>
      <c r="J1197">
        <v>5</v>
      </c>
      <c r="K1197">
        <v>275</v>
      </c>
    </row>
    <row r="1198" spans="1:11" x14ac:dyDescent="0.3">
      <c r="A1198">
        <v>2026</v>
      </c>
      <c r="B1198">
        <v>1</v>
      </c>
      <c r="C1198" t="s">
        <v>291</v>
      </c>
      <c r="D1198" t="s">
        <v>292</v>
      </c>
      <c r="E1198" t="str">
        <f>TEXT(35315993000337,"00000000000000")</f>
        <v>35315993000337</v>
      </c>
      <c r="F1198" t="s">
        <v>869</v>
      </c>
      <c r="G1198" t="s">
        <v>14</v>
      </c>
      <c r="H1198">
        <v>50010026</v>
      </c>
      <c r="I1198" t="s">
        <v>871</v>
      </c>
      <c r="J1198">
        <v>27</v>
      </c>
      <c r="K1198">
        <v>934.74</v>
      </c>
    </row>
    <row r="1199" spans="1:11" x14ac:dyDescent="0.3">
      <c r="A1199">
        <v>2026</v>
      </c>
      <c r="B1199">
        <v>1</v>
      </c>
      <c r="C1199" t="s">
        <v>291</v>
      </c>
      <c r="D1199" t="s">
        <v>292</v>
      </c>
      <c r="E1199" t="str">
        <f>TEXT(35315993000337,"00000000000000")</f>
        <v>35315993000337</v>
      </c>
      <c r="F1199" t="s">
        <v>869</v>
      </c>
      <c r="G1199" t="s">
        <v>14</v>
      </c>
      <c r="H1199">
        <v>50010190</v>
      </c>
      <c r="I1199" t="s">
        <v>589</v>
      </c>
      <c r="J1199">
        <v>4</v>
      </c>
      <c r="K1199">
        <v>184.64</v>
      </c>
    </row>
    <row r="1200" spans="1:11" x14ac:dyDescent="0.3">
      <c r="A1200">
        <v>2026</v>
      </c>
      <c r="B1200">
        <v>1</v>
      </c>
      <c r="C1200" t="s">
        <v>291</v>
      </c>
      <c r="D1200" t="s">
        <v>292</v>
      </c>
      <c r="E1200" t="str">
        <f>TEXT(35315993000337,"00000000000000")</f>
        <v>35315993000337</v>
      </c>
      <c r="F1200" t="s">
        <v>869</v>
      </c>
      <c r="G1200" t="s">
        <v>14</v>
      </c>
      <c r="H1200">
        <v>50010204</v>
      </c>
      <c r="I1200" t="s">
        <v>590</v>
      </c>
      <c r="J1200">
        <v>32</v>
      </c>
      <c r="K1200">
        <v>1288.32</v>
      </c>
    </row>
    <row r="1201" spans="1:11" x14ac:dyDescent="0.3">
      <c r="A1201">
        <v>2026</v>
      </c>
      <c r="B1201">
        <v>1</v>
      </c>
      <c r="C1201" t="s">
        <v>291</v>
      </c>
      <c r="D1201" t="s">
        <v>292</v>
      </c>
      <c r="E1201" t="str">
        <f>TEXT(35315993000337,"00000000000000")</f>
        <v>35315993000337</v>
      </c>
      <c r="F1201" t="s">
        <v>869</v>
      </c>
      <c r="G1201" t="s">
        <v>14</v>
      </c>
      <c r="H1201">
        <v>50010212</v>
      </c>
      <c r="I1201" t="s">
        <v>591</v>
      </c>
      <c r="J1201">
        <v>2</v>
      </c>
      <c r="K1201">
        <v>187.88</v>
      </c>
    </row>
    <row r="1202" spans="1:11" x14ac:dyDescent="0.3">
      <c r="A1202">
        <v>2026</v>
      </c>
      <c r="B1202">
        <v>1</v>
      </c>
      <c r="C1202" t="s">
        <v>291</v>
      </c>
      <c r="D1202" t="s">
        <v>292</v>
      </c>
      <c r="E1202" t="str">
        <f>TEXT(35315993000337,"00000000000000")</f>
        <v>35315993000337</v>
      </c>
      <c r="F1202" t="s">
        <v>869</v>
      </c>
      <c r="G1202" t="s">
        <v>14</v>
      </c>
      <c r="H1202">
        <v>50010328</v>
      </c>
      <c r="I1202" t="s">
        <v>595</v>
      </c>
      <c r="J1202">
        <v>34</v>
      </c>
      <c r="K1202">
        <v>629.67999999999995</v>
      </c>
    </row>
    <row r="1203" spans="1:11" x14ac:dyDescent="0.3">
      <c r="A1203">
        <v>2026</v>
      </c>
      <c r="B1203">
        <v>1</v>
      </c>
      <c r="C1203" t="s">
        <v>291</v>
      </c>
      <c r="D1203" t="s">
        <v>292</v>
      </c>
      <c r="E1203" t="str">
        <f>TEXT(35315993000337,"00000000000000")</f>
        <v>35315993000337</v>
      </c>
      <c r="F1203" t="s">
        <v>869</v>
      </c>
      <c r="G1203" t="s">
        <v>14</v>
      </c>
      <c r="H1203">
        <v>99030195</v>
      </c>
      <c r="I1203" t="s">
        <v>601</v>
      </c>
      <c r="J1203">
        <v>11</v>
      </c>
      <c r="K1203">
        <v>862.84</v>
      </c>
    </row>
    <row r="1204" spans="1:11" x14ac:dyDescent="0.3">
      <c r="A1204">
        <v>2026</v>
      </c>
      <c r="B1204">
        <v>1</v>
      </c>
      <c r="C1204" t="s">
        <v>291</v>
      </c>
      <c r="D1204" t="s">
        <v>292</v>
      </c>
      <c r="E1204" t="str">
        <f>TEXT(35315993000337,"00000000000000")</f>
        <v>35315993000337</v>
      </c>
      <c r="F1204" t="s">
        <v>869</v>
      </c>
      <c r="G1204" t="s">
        <v>14</v>
      </c>
      <c r="H1204">
        <v>99030209</v>
      </c>
      <c r="I1204" t="s">
        <v>602</v>
      </c>
      <c r="J1204">
        <v>2</v>
      </c>
      <c r="K1204">
        <v>318</v>
      </c>
    </row>
    <row r="1205" spans="1:11" x14ac:dyDescent="0.3">
      <c r="A1205">
        <v>2026</v>
      </c>
      <c r="B1205">
        <v>1</v>
      </c>
      <c r="C1205" t="s">
        <v>291</v>
      </c>
      <c r="D1205" t="s">
        <v>292</v>
      </c>
      <c r="E1205" t="str">
        <f>TEXT(40812042000141,"00000000000000")</f>
        <v>40812042000141</v>
      </c>
      <c r="F1205" t="s">
        <v>872</v>
      </c>
      <c r="G1205" t="s">
        <v>14</v>
      </c>
      <c r="H1205">
        <v>32080050</v>
      </c>
      <c r="I1205" t="s">
        <v>146</v>
      </c>
      <c r="J1205">
        <v>43</v>
      </c>
      <c r="K1205">
        <v>2857.78</v>
      </c>
    </row>
    <row r="1206" spans="1:11" x14ac:dyDescent="0.3">
      <c r="A1206">
        <v>2026</v>
      </c>
      <c r="B1206">
        <v>1</v>
      </c>
      <c r="C1206" t="s">
        <v>291</v>
      </c>
      <c r="D1206" t="s">
        <v>292</v>
      </c>
      <c r="E1206" t="str">
        <f>TEXT(40812042000141,"00000000000000")</f>
        <v>40812042000141</v>
      </c>
      <c r="F1206" t="s">
        <v>872</v>
      </c>
      <c r="G1206" t="s">
        <v>14</v>
      </c>
      <c r="H1206">
        <v>32080085</v>
      </c>
      <c r="I1206" t="s">
        <v>873</v>
      </c>
      <c r="J1206">
        <v>12</v>
      </c>
      <c r="K1206">
        <v>930</v>
      </c>
    </row>
    <row r="1207" spans="1:11" x14ac:dyDescent="0.3">
      <c r="A1207">
        <v>2026</v>
      </c>
      <c r="B1207">
        <v>1</v>
      </c>
      <c r="C1207" t="s">
        <v>291</v>
      </c>
      <c r="D1207" t="s">
        <v>292</v>
      </c>
      <c r="E1207" t="str">
        <f>TEXT(40812042000141,"00000000000000")</f>
        <v>40812042000141</v>
      </c>
      <c r="F1207" t="s">
        <v>872</v>
      </c>
      <c r="G1207" t="s">
        <v>14</v>
      </c>
      <c r="H1207">
        <v>32080115</v>
      </c>
      <c r="I1207" t="s">
        <v>147</v>
      </c>
      <c r="J1207">
        <v>16</v>
      </c>
      <c r="K1207">
        <v>2366.4</v>
      </c>
    </row>
    <row r="1208" spans="1:11" x14ac:dyDescent="0.3">
      <c r="A1208">
        <v>2026</v>
      </c>
      <c r="B1208">
        <v>1</v>
      </c>
      <c r="C1208" t="s">
        <v>291</v>
      </c>
      <c r="D1208" t="s">
        <v>292</v>
      </c>
      <c r="E1208" t="str">
        <f>TEXT(40812042000141,"00000000000000")</f>
        <v>40812042000141</v>
      </c>
      <c r="F1208" t="s">
        <v>872</v>
      </c>
      <c r="G1208" t="s">
        <v>14</v>
      </c>
      <c r="H1208">
        <v>32130040</v>
      </c>
      <c r="I1208" t="s">
        <v>874</v>
      </c>
      <c r="J1208">
        <v>7</v>
      </c>
      <c r="K1208">
        <v>647.5</v>
      </c>
    </row>
    <row r="1209" spans="1:11" x14ac:dyDescent="0.3">
      <c r="A1209">
        <v>2026</v>
      </c>
      <c r="B1209">
        <v>1</v>
      </c>
      <c r="C1209" t="s">
        <v>291</v>
      </c>
      <c r="D1209" t="s">
        <v>292</v>
      </c>
      <c r="E1209" t="str">
        <f>TEXT(40812042000141,"00000000000000")</f>
        <v>40812042000141</v>
      </c>
      <c r="F1209" t="s">
        <v>872</v>
      </c>
      <c r="G1209" t="s">
        <v>14</v>
      </c>
      <c r="H1209">
        <v>32130384</v>
      </c>
      <c r="I1209" t="s">
        <v>875</v>
      </c>
      <c r="J1209">
        <v>4</v>
      </c>
      <c r="K1209">
        <v>714</v>
      </c>
    </row>
    <row r="1210" spans="1:11" x14ac:dyDescent="0.3">
      <c r="A1210">
        <v>2026</v>
      </c>
      <c r="B1210">
        <v>1</v>
      </c>
      <c r="C1210" t="s">
        <v>291</v>
      </c>
      <c r="D1210" t="s">
        <v>292</v>
      </c>
      <c r="E1210" t="str">
        <f>TEXT(40812042000141,"00000000000000")</f>
        <v>40812042000141</v>
      </c>
      <c r="F1210" t="s">
        <v>872</v>
      </c>
      <c r="G1210" t="s">
        <v>14</v>
      </c>
      <c r="H1210">
        <v>33010021</v>
      </c>
      <c r="I1210" t="s">
        <v>148</v>
      </c>
      <c r="J1210">
        <v>8</v>
      </c>
      <c r="K1210">
        <v>1148.8</v>
      </c>
    </row>
    <row r="1211" spans="1:11" x14ac:dyDescent="0.3">
      <c r="A1211">
        <v>2026</v>
      </c>
      <c r="B1211">
        <v>1</v>
      </c>
      <c r="C1211" t="s">
        <v>291</v>
      </c>
      <c r="D1211" t="s">
        <v>292</v>
      </c>
      <c r="E1211" t="str">
        <f>TEXT(40812042000141,"00000000000000")</f>
        <v>40812042000141</v>
      </c>
      <c r="F1211" t="s">
        <v>872</v>
      </c>
      <c r="G1211" t="s">
        <v>14</v>
      </c>
      <c r="H1211">
        <v>33010030</v>
      </c>
      <c r="I1211" t="s">
        <v>149</v>
      </c>
      <c r="J1211">
        <v>2</v>
      </c>
      <c r="K1211">
        <v>123.58</v>
      </c>
    </row>
    <row r="1212" spans="1:11" x14ac:dyDescent="0.3">
      <c r="A1212">
        <v>2026</v>
      </c>
      <c r="B1212">
        <v>1</v>
      </c>
      <c r="C1212" t="s">
        <v>291</v>
      </c>
      <c r="D1212" t="s">
        <v>292</v>
      </c>
      <c r="E1212" t="str">
        <f>TEXT(40812042000141,"00000000000000")</f>
        <v>40812042000141</v>
      </c>
      <c r="F1212" t="s">
        <v>872</v>
      </c>
      <c r="G1212" t="s">
        <v>14</v>
      </c>
      <c r="H1212">
        <v>33010048</v>
      </c>
      <c r="I1212" t="s">
        <v>150</v>
      </c>
      <c r="J1212">
        <v>23</v>
      </c>
      <c r="K1212">
        <v>1367.12</v>
      </c>
    </row>
    <row r="1213" spans="1:11" x14ac:dyDescent="0.3">
      <c r="A1213">
        <v>2026</v>
      </c>
      <c r="B1213">
        <v>1</v>
      </c>
      <c r="C1213" t="s">
        <v>291</v>
      </c>
      <c r="D1213" t="s">
        <v>292</v>
      </c>
      <c r="E1213" t="str">
        <f>TEXT(40812042000141,"00000000000000")</f>
        <v>40812042000141</v>
      </c>
      <c r="F1213" t="s">
        <v>872</v>
      </c>
      <c r="G1213" t="s">
        <v>14</v>
      </c>
      <c r="H1213">
        <v>33010110</v>
      </c>
      <c r="I1213" t="s">
        <v>876</v>
      </c>
      <c r="J1213">
        <v>4</v>
      </c>
      <c r="K1213">
        <v>216.08</v>
      </c>
    </row>
    <row r="1214" spans="1:11" x14ac:dyDescent="0.3">
      <c r="A1214">
        <v>2026</v>
      </c>
      <c r="B1214">
        <v>1</v>
      </c>
      <c r="C1214" t="s">
        <v>291</v>
      </c>
      <c r="D1214" t="s">
        <v>292</v>
      </c>
      <c r="E1214" t="str">
        <f>TEXT(40812042000141,"00000000000000")</f>
        <v>40812042000141</v>
      </c>
      <c r="F1214" t="s">
        <v>872</v>
      </c>
      <c r="G1214" t="s">
        <v>14</v>
      </c>
      <c r="H1214">
        <v>33010129</v>
      </c>
      <c r="I1214" t="s">
        <v>151</v>
      </c>
      <c r="J1214">
        <v>17</v>
      </c>
      <c r="K1214">
        <v>1041.5899999999999</v>
      </c>
    </row>
    <row r="1215" spans="1:11" x14ac:dyDescent="0.3">
      <c r="A1215">
        <v>2026</v>
      </c>
      <c r="B1215">
        <v>1</v>
      </c>
      <c r="C1215" t="s">
        <v>291</v>
      </c>
      <c r="D1215" t="s">
        <v>292</v>
      </c>
      <c r="E1215" t="str">
        <f>TEXT(40812042000141,"00000000000000")</f>
        <v>40812042000141</v>
      </c>
      <c r="F1215" t="s">
        <v>872</v>
      </c>
      <c r="G1215" t="s">
        <v>14</v>
      </c>
      <c r="H1215">
        <v>33010145</v>
      </c>
      <c r="I1215" t="s">
        <v>152</v>
      </c>
      <c r="J1215">
        <v>2</v>
      </c>
      <c r="K1215">
        <v>117.26</v>
      </c>
    </row>
    <row r="1216" spans="1:11" x14ac:dyDescent="0.3">
      <c r="A1216">
        <v>2026</v>
      </c>
      <c r="B1216">
        <v>1</v>
      </c>
      <c r="C1216" t="s">
        <v>291</v>
      </c>
      <c r="D1216" t="s">
        <v>292</v>
      </c>
      <c r="E1216" t="str">
        <f>TEXT(40812042000141,"00000000000000")</f>
        <v>40812042000141</v>
      </c>
      <c r="F1216" t="s">
        <v>872</v>
      </c>
      <c r="G1216" t="s">
        <v>14</v>
      </c>
      <c r="H1216">
        <v>33010153</v>
      </c>
      <c r="I1216" t="s">
        <v>153</v>
      </c>
      <c r="J1216">
        <v>3</v>
      </c>
      <c r="K1216">
        <v>122.67</v>
      </c>
    </row>
    <row r="1217" spans="1:11" x14ac:dyDescent="0.3">
      <c r="A1217">
        <v>2026</v>
      </c>
      <c r="B1217">
        <v>1</v>
      </c>
      <c r="C1217" t="s">
        <v>291</v>
      </c>
      <c r="D1217" t="s">
        <v>292</v>
      </c>
      <c r="E1217" t="str">
        <f>TEXT(40812042000141,"00000000000000")</f>
        <v>40812042000141</v>
      </c>
      <c r="F1217" t="s">
        <v>872</v>
      </c>
      <c r="G1217" t="s">
        <v>14</v>
      </c>
      <c r="H1217">
        <v>33010234</v>
      </c>
      <c r="I1217" t="s">
        <v>877</v>
      </c>
      <c r="J1217">
        <v>1</v>
      </c>
      <c r="K1217">
        <v>166.08</v>
      </c>
    </row>
    <row r="1218" spans="1:11" x14ac:dyDescent="0.3">
      <c r="A1218">
        <v>2026</v>
      </c>
      <c r="B1218">
        <v>1</v>
      </c>
      <c r="C1218" t="s">
        <v>291</v>
      </c>
      <c r="D1218" t="s">
        <v>292</v>
      </c>
      <c r="E1218" t="str">
        <f>TEXT(40812042000141,"00000000000000")</f>
        <v>40812042000141</v>
      </c>
      <c r="F1218" t="s">
        <v>872</v>
      </c>
      <c r="G1218" t="s">
        <v>14</v>
      </c>
      <c r="H1218">
        <v>33010293</v>
      </c>
      <c r="I1218" t="s">
        <v>155</v>
      </c>
      <c r="J1218">
        <v>1</v>
      </c>
      <c r="K1218">
        <v>100.18</v>
      </c>
    </row>
    <row r="1219" spans="1:11" x14ac:dyDescent="0.3">
      <c r="A1219">
        <v>2026</v>
      </c>
      <c r="B1219">
        <v>1</v>
      </c>
      <c r="C1219" t="s">
        <v>291</v>
      </c>
      <c r="D1219" t="s">
        <v>292</v>
      </c>
      <c r="E1219" t="str">
        <f>TEXT(40812042000141,"00000000000000")</f>
        <v>40812042000141</v>
      </c>
      <c r="F1219" t="s">
        <v>872</v>
      </c>
      <c r="G1219" t="s">
        <v>14</v>
      </c>
      <c r="H1219">
        <v>33010315</v>
      </c>
      <c r="I1219" t="s">
        <v>878</v>
      </c>
      <c r="J1219">
        <v>4</v>
      </c>
      <c r="K1219">
        <v>651.16</v>
      </c>
    </row>
    <row r="1220" spans="1:11" x14ac:dyDescent="0.3">
      <c r="A1220">
        <v>2026</v>
      </c>
      <c r="B1220">
        <v>1</v>
      </c>
      <c r="C1220" t="s">
        <v>291</v>
      </c>
      <c r="D1220" t="s">
        <v>292</v>
      </c>
      <c r="E1220" t="str">
        <f>TEXT(40812042000141,"00000000000000")</f>
        <v>40812042000141</v>
      </c>
      <c r="F1220" t="s">
        <v>872</v>
      </c>
      <c r="G1220" t="s">
        <v>14</v>
      </c>
      <c r="H1220">
        <v>33010323</v>
      </c>
      <c r="I1220" t="s">
        <v>156</v>
      </c>
      <c r="J1220">
        <v>5</v>
      </c>
      <c r="K1220">
        <v>588.4</v>
      </c>
    </row>
    <row r="1221" spans="1:11" x14ac:dyDescent="0.3">
      <c r="A1221">
        <v>2026</v>
      </c>
      <c r="B1221">
        <v>1</v>
      </c>
      <c r="C1221" t="s">
        <v>291</v>
      </c>
      <c r="D1221" t="s">
        <v>292</v>
      </c>
      <c r="E1221" t="str">
        <f>TEXT(40812042000141,"00000000000000")</f>
        <v>40812042000141</v>
      </c>
      <c r="F1221" t="s">
        <v>872</v>
      </c>
      <c r="G1221" t="s">
        <v>14</v>
      </c>
      <c r="H1221">
        <v>33010358</v>
      </c>
      <c r="I1221" t="s">
        <v>552</v>
      </c>
      <c r="J1221">
        <v>14</v>
      </c>
      <c r="K1221">
        <v>2325.12</v>
      </c>
    </row>
    <row r="1222" spans="1:11" x14ac:dyDescent="0.3">
      <c r="A1222">
        <v>2026</v>
      </c>
      <c r="B1222">
        <v>1</v>
      </c>
      <c r="C1222" t="s">
        <v>291</v>
      </c>
      <c r="D1222" t="s">
        <v>292</v>
      </c>
      <c r="E1222" t="str">
        <f>TEXT(40812042000141,"00000000000000")</f>
        <v>40812042000141</v>
      </c>
      <c r="F1222" t="s">
        <v>872</v>
      </c>
      <c r="G1222" t="s">
        <v>173</v>
      </c>
      <c r="H1222">
        <v>26997</v>
      </c>
      <c r="I1222" t="s">
        <v>879</v>
      </c>
      <c r="J1222">
        <v>120</v>
      </c>
      <c r="K1222">
        <v>2.04</v>
      </c>
    </row>
    <row r="1223" spans="1:11" x14ac:dyDescent="0.3">
      <c r="A1223">
        <v>2026</v>
      </c>
      <c r="B1223">
        <v>1</v>
      </c>
      <c r="C1223" t="s">
        <v>291</v>
      </c>
      <c r="D1223" t="s">
        <v>292</v>
      </c>
      <c r="E1223" t="str">
        <f>TEXT(40812042000141,"00000000000000")</f>
        <v>40812042000141</v>
      </c>
      <c r="F1223" t="s">
        <v>872</v>
      </c>
      <c r="G1223" t="s">
        <v>173</v>
      </c>
      <c r="H1223">
        <v>74280</v>
      </c>
      <c r="I1223" t="s">
        <v>880</v>
      </c>
      <c r="J1223">
        <v>22</v>
      </c>
      <c r="K1223">
        <v>42.9</v>
      </c>
    </row>
    <row r="1224" spans="1:11" x14ac:dyDescent="0.3">
      <c r="A1224">
        <v>2026</v>
      </c>
      <c r="B1224">
        <v>1</v>
      </c>
      <c r="C1224" t="s">
        <v>291</v>
      </c>
      <c r="D1224" t="s">
        <v>292</v>
      </c>
      <c r="E1224" t="str">
        <f>TEXT(40812042000141,"00000000000000")</f>
        <v>40812042000141</v>
      </c>
      <c r="F1224" t="s">
        <v>872</v>
      </c>
      <c r="G1224" t="s">
        <v>173</v>
      </c>
      <c r="H1224">
        <v>91650</v>
      </c>
      <c r="I1224" t="s">
        <v>881</v>
      </c>
      <c r="J1224">
        <v>4</v>
      </c>
      <c r="K1224">
        <v>8.8000000000000007</v>
      </c>
    </row>
    <row r="1225" spans="1:11" x14ac:dyDescent="0.3">
      <c r="A1225">
        <v>2026</v>
      </c>
      <c r="B1225">
        <v>1</v>
      </c>
      <c r="C1225" t="s">
        <v>291</v>
      </c>
      <c r="D1225" t="s">
        <v>292</v>
      </c>
      <c r="E1225" t="str">
        <f>TEXT(40812042000141,"00000000000000")</f>
        <v>40812042000141</v>
      </c>
      <c r="F1225" t="s">
        <v>872</v>
      </c>
      <c r="G1225" t="s">
        <v>173</v>
      </c>
      <c r="H1225">
        <v>120586</v>
      </c>
      <c r="I1225" t="s">
        <v>882</v>
      </c>
      <c r="J1225">
        <v>16</v>
      </c>
      <c r="K1225">
        <v>29.6</v>
      </c>
    </row>
    <row r="1226" spans="1:11" x14ac:dyDescent="0.3">
      <c r="A1226">
        <v>2026</v>
      </c>
      <c r="B1226">
        <v>1</v>
      </c>
      <c r="C1226" t="s">
        <v>291</v>
      </c>
      <c r="D1226" t="s">
        <v>292</v>
      </c>
      <c r="E1226" t="str">
        <f>TEXT(40812042000141,"00000000000000")</f>
        <v>40812042000141</v>
      </c>
      <c r="F1226" t="s">
        <v>872</v>
      </c>
      <c r="G1226" t="s">
        <v>173</v>
      </c>
      <c r="H1226">
        <v>159157</v>
      </c>
      <c r="I1226" t="s">
        <v>883</v>
      </c>
      <c r="J1226">
        <v>4</v>
      </c>
      <c r="K1226">
        <v>16.64</v>
      </c>
    </row>
    <row r="1227" spans="1:11" x14ac:dyDescent="0.3">
      <c r="A1227">
        <v>2026</v>
      </c>
      <c r="B1227">
        <v>1</v>
      </c>
      <c r="C1227" t="s">
        <v>291</v>
      </c>
      <c r="D1227" t="s">
        <v>292</v>
      </c>
      <c r="E1227" t="str">
        <f>TEXT(40812042000141,"00000000000000")</f>
        <v>40812042000141</v>
      </c>
      <c r="F1227" t="s">
        <v>872</v>
      </c>
      <c r="G1227" t="s">
        <v>173</v>
      </c>
      <c r="H1227">
        <v>281840</v>
      </c>
      <c r="I1227" t="s">
        <v>884</v>
      </c>
      <c r="J1227">
        <v>4</v>
      </c>
      <c r="K1227">
        <v>8000</v>
      </c>
    </row>
    <row r="1228" spans="1:11" x14ac:dyDescent="0.3">
      <c r="A1228">
        <v>2026</v>
      </c>
      <c r="B1228">
        <v>1</v>
      </c>
      <c r="C1228" t="s">
        <v>291</v>
      </c>
      <c r="D1228" t="s">
        <v>292</v>
      </c>
      <c r="E1228" t="str">
        <f>TEXT(40812042000141,"00000000000000")</f>
        <v>40812042000141</v>
      </c>
      <c r="F1228" t="s">
        <v>872</v>
      </c>
      <c r="G1228" t="s">
        <v>173</v>
      </c>
      <c r="H1228">
        <v>291178</v>
      </c>
      <c r="I1228" t="s">
        <v>885</v>
      </c>
      <c r="J1228">
        <v>4</v>
      </c>
      <c r="K1228">
        <v>20.52</v>
      </c>
    </row>
    <row r="1229" spans="1:11" x14ac:dyDescent="0.3">
      <c r="A1229">
        <v>2026</v>
      </c>
      <c r="B1229">
        <v>1</v>
      </c>
      <c r="C1229" t="s">
        <v>291</v>
      </c>
      <c r="D1229" t="s">
        <v>292</v>
      </c>
      <c r="E1229" t="str">
        <f>TEXT(40812042000141,"00000000000000")</f>
        <v>40812042000141</v>
      </c>
      <c r="F1229" t="s">
        <v>872</v>
      </c>
      <c r="G1229" t="s">
        <v>173</v>
      </c>
      <c r="H1229">
        <v>770014</v>
      </c>
      <c r="I1229" t="s">
        <v>886</v>
      </c>
      <c r="J1229">
        <v>4</v>
      </c>
      <c r="K1229">
        <v>7.28</v>
      </c>
    </row>
    <row r="1230" spans="1:11" x14ac:dyDescent="0.3">
      <c r="A1230">
        <v>2026</v>
      </c>
      <c r="B1230">
        <v>1</v>
      </c>
      <c r="C1230" t="s">
        <v>291</v>
      </c>
      <c r="D1230" t="s">
        <v>292</v>
      </c>
      <c r="E1230" t="str">
        <f>TEXT(40812042000141,"00000000000000")</f>
        <v>40812042000141</v>
      </c>
      <c r="F1230" t="s">
        <v>872</v>
      </c>
      <c r="G1230" t="s">
        <v>173</v>
      </c>
      <c r="H1230">
        <v>1810025</v>
      </c>
      <c r="I1230" t="s">
        <v>887</v>
      </c>
      <c r="J1230">
        <v>12</v>
      </c>
      <c r="K1230">
        <v>31.08</v>
      </c>
    </row>
    <row r="1231" spans="1:11" x14ac:dyDescent="0.3">
      <c r="A1231">
        <v>2026</v>
      </c>
      <c r="B1231">
        <v>1</v>
      </c>
      <c r="C1231" t="s">
        <v>291</v>
      </c>
      <c r="D1231" t="s">
        <v>292</v>
      </c>
      <c r="E1231" t="str">
        <f>TEXT(40812042000141,"00000000000000")</f>
        <v>40812042000141</v>
      </c>
      <c r="F1231" t="s">
        <v>872</v>
      </c>
      <c r="G1231" t="s">
        <v>173</v>
      </c>
      <c r="H1231">
        <v>2330079</v>
      </c>
      <c r="I1231" t="s">
        <v>888</v>
      </c>
      <c r="J1231">
        <v>4</v>
      </c>
      <c r="K1231">
        <v>6080</v>
      </c>
    </row>
    <row r="1232" spans="1:11" x14ac:dyDescent="0.3">
      <c r="A1232">
        <v>2026</v>
      </c>
      <c r="B1232">
        <v>1</v>
      </c>
      <c r="C1232" t="s">
        <v>291</v>
      </c>
      <c r="D1232" t="s">
        <v>292</v>
      </c>
      <c r="E1232" t="str">
        <f>TEXT(40812042000141,"00000000000000")</f>
        <v>40812042000141</v>
      </c>
      <c r="F1232" t="s">
        <v>872</v>
      </c>
      <c r="G1232" t="s">
        <v>173</v>
      </c>
      <c r="H1232">
        <v>2330085</v>
      </c>
      <c r="I1232" t="s">
        <v>889</v>
      </c>
      <c r="J1232">
        <v>4</v>
      </c>
      <c r="K1232">
        <v>6080</v>
      </c>
    </row>
    <row r="1233" spans="1:11" x14ac:dyDescent="0.3">
      <c r="A1233">
        <v>2026</v>
      </c>
      <c r="B1233">
        <v>1</v>
      </c>
      <c r="C1233" t="s">
        <v>291</v>
      </c>
      <c r="D1233" t="s">
        <v>292</v>
      </c>
      <c r="E1233" t="str">
        <f>TEXT(40812042000141,"00000000000000")</f>
        <v>40812042000141</v>
      </c>
      <c r="F1233" t="s">
        <v>872</v>
      </c>
      <c r="G1233" t="s">
        <v>173</v>
      </c>
      <c r="H1233">
        <v>74141287</v>
      </c>
      <c r="I1233" t="s">
        <v>890</v>
      </c>
      <c r="J1233">
        <v>4</v>
      </c>
      <c r="K1233">
        <v>64.64</v>
      </c>
    </row>
    <row r="1234" spans="1:11" x14ac:dyDescent="0.3">
      <c r="A1234">
        <v>2026</v>
      </c>
      <c r="B1234">
        <v>1</v>
      </c>
      <c r="C1234" t="s">
        <v>291</v>
      </c>
      <c r="D1234" t="s">
        <v>292</v>
      </c>
      <c r="E1234" t="str">
        <f>TEXT(40812042000141,"00000000000000")</f>
        <v>40812042000141</v>
      </c>
      <c r="F1234" t="s">
        <v>872</v>
      </c>
      <c r="G1234" t="s">
        <v>204</v>
      </c>
      <c r="H1234">
        <v>71666</v>
      </c>
      <c r="I1234" t="s">
        <v>891</v>
      </c>
      <c r="J1234">
        <v>4</v>
      </c>
      <c r="K1234">
        <v>24.32</v>
      </c>
    </row>
    <row r="1235" spans="1:11" x14ac:dyDescent="0.3">
      <c r="A1235">
        <v>2026</v>
      </c>
      <c r="B1235">
        <v>1</v>
      </c>
      <c r="C1235" t="s">
        <v>291</v>
      </c>
      <c r="D1235" t="s">
        <v>292</v>
      </c>
      <c r="E1235" t="str">
        <f>TEXT(40812042000141,"00000000000000")</f>
        <v>40812042000141</v>
      </c>
      <c r="F1235" t="s">
        <v>872</v>
      </c>
      <c r="G1235" t="s">
        <v>204</v>
      </c>
      <c r="H1235">
        <v>271443</v>
      </c>
      <c r="I1235" t="s">
        <v>892</v>
      </c>
      <c r="J1235">
        <v>4</v>
      </c>
      <c r="K1235">
        <v>33.799999999999997</v>
      </c>
    </row>
    <row r="1236" spans="1:11" x14ac:dyDescent="0.3">
      <c r="A1236">
        <v>2026</v>
      </c>
      <c r="B1236">
        <v>1</v>
      </c>
      <c r="C1236" t="s">
        <v>291</v>
      </c>
      <c r="D1236" t="s">
        <v>292</v>
      </c>
      <c r="E1236" t="str">
        <f>TEXT(40812042000141,"00000000000000")</f>
        <v>40812042000141</v>
      </c>
      <c r="F1236" t="s">
        <v>872</v>
      </c>
      <c r="G1236" t="s">
        <v>204</v>
      </c>
      <c r="H1236">
        <v>285354</v>
      </c>
      <c r="I1236" t="s">
        <v>893</v>
      </c>
      <c r="J1236">
        <v>5</v>
      </c>
      <c r="K1236">
        <v>9.9499999999999993</v>
      </c>
    </row>
    <row r="1237" spans="1:11" x14ac:dyDescent="0.3">
      <c r="A1237">
        <v>2026</v>
      </c>
      <c r="B1237">
        <v>1</v>
      </c>
      <c r="C1237" t="s">
        <v>291</v>
      </c>
      <c r="D1237" t="s">
        <v>292</v>
      </c>
      <c r="E1237" t="str">
        <f>TEXT(40812042000141,"00000000000000")</f>
        <v>40812042000141</v>
      </c>
      <c r="F1237" t="s">
        <v>872</v>
      </c>
      <c r="G1237" t="s">
        <v>204</v>
      </c>
      <c r="H1237">
        <v>304950</v>
      </c>
      <c r="I1237" t="s">
        <v>894</v>
      </c>
      <c r="J1237">
        <v>4</v>
      </c>
      <c r="K1237">
        <v>653.55999999999995</v>
      </c>
    </row>
    <row r="1238" spans="1:11" x14ac:dyDescent="0.3">
      <c r="A1238">
        <v>2026</v>
      </c>
      <c r="B1238">
        <v>1</v>
      </c>
      <c r="C1238" t="s">
        <v>291</v>
      </c>
      <c r="D1238" t="s">
        <v>292</v>
      </c>
      <c r="E1238" t="str">
        <f>TEXT(40812042000141,"00000000000000")</f>
        <v>40812042000141</v>
      </c>
      <c r="F1238" t="s">
        <v>872</v>
      </c>
      <c r="G1238" t="s">
        <v>204</v>
      </c>
      <c r="H1238">
        <v>90136730</v>
      </c>
      <c r="I1238" t="s">
        <v>895</v>
      </c>
      <c r="J1238">
        <v>8</v>
      </c>
      <c r="K1238">
        <v>56.32</v>
      </c>
    </row>
    <row r="1239" spans="1:11" x14ac:dyDescent="0.3">
      <c r="A1239">
        <v>2026</v>
      </c>
      <c r="B1239">
        <v>1</v>
      </c>
      <c r="C1239" t="s">
        <v>291</v>
      </c>
      <c r="D1239" t="s">
        <v>292</v>
      </c>
      <c r="E1239" t="str">
        <f>TEXT(40812042000141,"00000000000000")</f>
        <v>40812042000141</v>
      </c>
      <c r="F1239" t="s">
        <v>872</v>
      </c>
      <c r="G1239" t="s">
        <v>204</v>
      </c>
      <c r="H1239">
        <v>90137485</v>
      </c>
      <c r="I1239" t="s">
        <v>896</v>
      </c>
      <c r="J1239">
        <v>2</v>
      </c>
      <c r="K1239">
        <v>1.4</v>
      </c>
    </row>
    <row r="1240" spans="1:11" x14ac:dyDescent="0.3">
      <c r="A1240">
        <v>2026</v>
      </c>
      <c r="B1240">
        <v>1</v>
      </c>
      <c r="C1240" t="s">
        <v>291</v>
      </c>
      <c r="D1240" t="s">
        <v>292</v>
      </c>
      <c r="E1240" t="str">
        <f>TEXT(40812042000141,"00000000000000")</f>
        <v>40812042000141</v>
      </c>
      <c r="F1240" t="s">
        <v>872</v>
      </c>
      <c r="G1240" t="s">
        <v>204</v>
      </c>
      <c r="H1240">
        <v>90208501</v>
      </c>
      <c r="I1240" t="s">
        <v>897</v>
      </c>
      <c r="J1240">
        <v>1</v>
      </c>
      <c r="K1240">
        <v>1.4</v>
      </c>
    </row>
    <row r="1241" spans="1:11" x14ac:dyDescent="0.3">
      <c r="A1241">
        <v>2026</v>
      </c>
      <c r="B1241">
        <v>1</v>
      </c>
      <c r="C1241" t="s">
        <v>291</v>
      </c>
      <c r="D1241" t="s">
        <v>292</v>
      </c>
      <c r="E1241" t="str">
        <f>TEXT(40812042000141,"00000000000000")</f>
        <v>40812042000141</v>
      </c>
      <c r="F1241" t="s">
        <v>872</v>
      </c>
      <c r="G1241" t="s">
        <v>204</v>
      </c>
      <c r="H1241">
        <v>90517989</v>
      </c>
      <c r="I1241" t="s">
        <v>898</v>
      </c>
      <c r="J1241">
        <v>4</v>
      </c>
      <c r="K1241">
        <v>492.48</v>
      </c>
    </row>
    <row r="1242" spans="1:11" x14ac:dyDescent="0.3">
      <c r="A1242">
        <v>2026</v>
      </c>
      <c r="B1242">
        <v>1</v>
      </c>
      <c r="C1242" t="s">
        <v>291</v>
      </c>
      <c r="D1242" t="s">
        <v>292</v>
      </c>
      <c r="E1242" t="str">
        <f>TEXT(41043092000174,"00000000000000")</f>
        <v>41043092000174</v>
      </c>
      <c r="F1242" t="s">
        <v>899</v>
      </c>
      <c r="G1242" t="s">
        <v>14</v>
      </c>
      <c r="H1242">
        <v>32130040</v>
      </c>
      <c r="I1242" t="s">
        <v>874</v>
      </c>
      <c r="J1242">
        <v>1</v>
      </c>
      <c r="K1242">
        <v>92.5</v>
      </c>
    </row>
    <row r="1243" spans="1:11" x14ac:dyDescent="0.3">
      <c r="A1243">
        <v>2026</v>
      </c>
      <c r="B1243">
        <v>1</v>
      </c>
      <c r="C1243" t="s">
        <v>291</v>
      </c>
      <c r="D1243" t="s">
        <v>292</v>
      </c>
      <c r="E1243" t="str">
        <f>TEXT(41043092000174,"00000000000000")</f>
        <v>41043092000174</v>
      </c>
      <c r="F1243" t="s">
        <v>899</v>
      </c>
      <c r="G1243" t="s">
        <v>14</v>
      </c>
      <c r="H1243">
        <v>33010293</v>
      </c>
      <c r="I1243" t="s">
        <v>155</v>
      </c>
      <c r="J1243">
        <v>1</v>
      </c>
      <c r="K1243">
        <v>100.18</v>
      </c>
    </row>
    <row r="1244" spans="1:11" x14ac:dyDescent="0.3">
      <c r="A1244">
        <v>2026</v>
      </c>
      <c r="B1244">
        <v>1</v>
      </c>
      <c r="C1244" t="s">
        <v>291</v>
      </c>
      <c r="D1244" t="s">
        <v>292</v>
      </c>
      <c r="E1244" t="str">
        <f>TEXT(41043092000174,"00000000000000")</f>
        <v>41043092000174</v>
      </c>
      <c r="F1244" t="s">
        <v>899</v>
      </c>
      <c r="G1244" t="s">
        <v>14</v>
      </c>
      <c r="H1244">
        <v>33010358</v>
      </c>
      <c r="I1244" t="s">
        <v>552</v>
      </c>
      <c r="J1244">
        <v>9</v>
      </c>
      <c r="K1244">
        <v>1179.18</v>
      </c>
    </row>
    <row r="1245" spans="1:11" x14ac:dyDescent="0.3">
      <c r="A1245">
        <v>2026</v>
      </c>
      <c r="B1245">
        <v>1</v>
      </c>
      <c r="C1245" t="s">
        <v>291</v>
      </c>
      <c r="D1245" t="s">
        <v>292</v>
      </c>
      <c r="E1245" t="str">
        <f>TEXT(41043092000174,"00000000000000")</f>
        <v>41043092000174</v>
      </c>
      <c r="F1245" t="s">
        <v>899</v>
      </c>
      <c r="G1245" t="s">
        <v>14</v>
      </c>
      <c r="H1245">
        <v>34010017</v>
      </c>
      <c r="I1245" t="s">
        <v>157</v>
      </c>
      <c r="J1245">
        <v>3</v>
      </c>
      <c r="K1245">
        <v>727.67</v>
      </c>
    </row>
    <row r="1246" spans="1:11" x14ac:dyDescent="0.3">
      <c r="A1246">
        <v>2026</v>
      </c>
      <c r="B1246">
        <v>1</v>
      </c>
      <c r="C1246" t="s">
        <v>291</v>
      </c>
      <c r="D1246" t="s">
        <v>292</v>
      </c>
      <c r="E1246" t="str">
        <f>TEXT(41043092000174,"00000000000000")</f>
        <v>41043092000174</v>
      </c>
      <c r="F1246" t="s">
        <v>899</v>
      </c>
      <c r="G1246" t="s">
        <v>14</v>
      </c>
      <c r="H1246">
        <v>34010068</v>
      </c>
      <c r="I1246" t="s">
        <v>160</v>
      </c>
      <c r="J1246">
        <v>1</v>
      </c>
      <c r="K1246">
        <v>220.31</v>
      </c>
    </row>
    <row r="1247" spans="1:11" x14ac:dyDescent="0.3">
      <c r="A1247">
        <v>2026</v>
      </c>
      <c r="B1247">
        <v>1</v>
      </c>
      <c r="C1247" t="s">
        <v>291</v>
      </c>
      <c r="D1247" t="s">
        <v>292</v>
      </c>
      <c r="E1247" t="str">
        <f>TEXT(41043092000174,"00000000000000")</f>
        <v>41043092000174</v>
      </c>
      <c r="F1247" t="s">
        <v>899</v>
      </c>
      <c r="G1247" t="s">
        <v>14</v>
      </c>
      <c r="H1247">
        <v>34010106</v>
      </c>
      <c r="I1247" t="s">
        <v>161</v>
      </c>
      <c r="J1247">
        <v>3</v>
      </c>
      <c r="K1247">
        <v>646.80999999999995</v>
      </c>
    </row>
    <row r="1248" spans="1:11" x14ac:dyDescent="0.3">
      <c r="A1248">
        <v>2026</v>
      </c>
      <c r="B1248">
        <v>1</v>
      </c>
      <c r="C1248" t="s">
        <v>291</v>
      </c>
      <c r="D1248" t="s">
        <v>292</v>
      </c>
      <c r="E1248" t="str">
        <f>TEXT(41043092000174,"00000000000000")</f>
        <v>41043092000174</v>
      </c>
      <c r="F1248" t="s">
        <v>899</v>
      </c>
      <c r="G1248" t="s">
        <v>14</v>
      </c>
      <c r="H1248">
        <v>34010130</v>
      </c>
      <c r="I1248" t="s">
        <v>162</v>
      </c>
      <c r="J1248">
        <v>2</v>
      </c>
      <c r="K1248">
        <v>404.26</v>
      </c>
    </row>
    <row r="1249" spans="1:11" x14ac:dyDescent="0.3">
      <c r="A1249">
        <v>2026</v>
      </c>
      <c r="B1249">
        <v>1</v>
      </c>
      <c r="C1249" t="s">
        <v>291</v>
      </c>
      <c r="D1249" t="s">
        <v>292</v>
      </c>
      <c r="E1249" t="str">
        <f>TEXT(41043092000174,"00000000000000")</f>
        <v>41043092000174</v>
      </c>
      <c r="F1249" t="s">
        <v>899</v>
      </c>
      <c r="G1249" t="s">
        <v>14</v>
      </c>
      <c r="H1249">
        <v>36010014</v>
      </c>
      <c r="I1249" t="s">
        <v>554</v>
      </c>
      <c r="J1249">
        <v>3</v>
      </c>
      <c r="K1249">
        <v>1630.89</v>
      </c>
    </row>
    <row r="1250" spans="1:11" x14ac:dyDescent="0.3">
      <c r="A1250">
        <v>2026</v>
      </c>
      <c r="B1250">
        <v>1</v>
      </c>
      <c r="C1250" t="s">
        <v>291</v>
      </c>
      <c r="D1250" t="s">
        <v>292</v>
      </c>
      <c r="E1250" t="str">
        <f>TEXT(41043092000174,"00000000000000")</f>
        <v>41043092000174</v>
      </c>
      <c r="F1250" t="s">
        <v>899</v>
      </c>
      <c r="G1250" t="s">
        <v>14</v>
      </c>
      <c r="H1250">
        <v>36010022</v>
      </c>
      <c r="I1250" t="s">
        <v>555</v>
      </c>
      <c r="J1250">
        <v>4</v>
      </c>
      <c r="K1250">
        <v>2033.38</v>
      </c>
    </row>
    <row r="1251" spans="1:11" x14ac:dyDescent="0.3">
      <c r="A1251">
        <v>2026</v>
      </c>
      <c r="B1251">
        <v>1</v>
      </c>
      <c r="C1251" t="s">
        <v>291</v>
      </c>
      <c r="D1251" t="s">
        <v>292</v>
      </c>
      <c r="E1251" t="str">
        <f>TEXT(41043092000174,"00000000000000")</f>
        <v>41043092000174</v>
      </c>
      <c r="F1251" t="s">
        <v>899</v>
      </c>
      <c r="G1251" t="s">
        <v>14</v>
      </c>
      <c r="H1251">
        <v>36010030</v>
      </c>
      <c r="I1251" t="s">
        <v>556</v>
      </c>
      <c r="J1251">
        <v>2</v>
      </c>
      <c r="K1251">
        <v>1129.6600000000001</v>
      </c>
    </row>
    <row r="1252" spans="1:11" x14ac:dyDescent="0.3">
      <c r="A1252">
        <v>2026</v>
      </c>
      <c r="B1252">
        <v>1</v>
      </c>
      <c r="C1252" t="s">
        <v>291</v>
      </c>
      <c r="D1252" t="s">
        <v>292</v>
      </c>
      <c r="E1252" t="str">
        <f>TEXT(41043092000174,"00000000000000")</f>
        <v>41043092000174</v>
      </c>
      <c r="F1252" t="s">
        <v>899</v>
      </c>
      <c r="G1252" t="s">
        <v>14</v>
      </c>
      <c r="H1252">
        <v>36010049</v>
      </c>
      <c r="I1252" t="s">
        <v>557</v>
      </c>
      <c r="J1252">
        <v>9</v>
      </c>
      <c r="K1252">
        <v>4857.53</v>
      </c>
    </row>
    <row r="1253" spans="1:11" x14ac:dyDescent="0.3">
      <c r="A1253">
        <v>2026</v>
      </c>
      <c r="B1253">
        <v>1</v>
      </c>
      <c r="C1253" t="s">
        <v>291</v>
      </c>
      <c r="D1253" t="s">
        <v>292</v>
      </c>
      <c r="E1253" t="str">
        <f>TEXT(41043092000174,"00000000000000")</f>
        <v>41043092000174</v>
      </c>
      <c r="F1253" t="s">
        <v>899</v>
      </c>
      <c r="G1253" t="s">
        <v>14</v>
      </c>
      <c r="H1253">
        <v>36010073</v>
      </c>
      <c r="I1253" t="s">
        <v>900</v>
      </c>
      <c r="J1253">
        <v>1</v>
      </c>
      <c r="K1253">
        <v>572.78</v>
      </c>
    </row>
    <row r="1254" spans="1:11" x14ac:dyDescent="0.3">
      <c r="A1254">
        <v>2026</v>
      </c>
      <c r="B1254">
        <v>1</v>
      </c>
      <c r="C1254" t="s">
        <v>291</v>
      </c>
      <c r="D1254" t="s">
        <v>292</v>
      </c>
      <c r="E1254" t="str">
        <f>TEXT(41043092000174,"00000000000000")</f>
        <v>41043092000174</v>
      </c>
      <c r="F1254" t="s">
        <v>899</v>
      </c>
      <c r="G1254" t="s">
        <v>14</v>
      </c>
      <c r="H1254">
        <v>36010103</v>
      </c>
      <c r="I1254" t="s">
        <v>559</v>
      </c>
      <c r="J1254">
        <v>1</v>
      </c>
      <c r="K1254">
        <v>572.78</v>
      </c>
    </row>
    <row r="1255" spans="1:11" x14ac:dyDescent="0.3">
      <c r="A1255">
        <v>2026</v>
      </c>
      <c r="B1255">
        <v>1</v>
      </c>
      <c r="C1255" t="s">
        <v>291</v>
      </c>
      <c r="D1255" t="s">
        <v>292</v>
      </c>
      <c r="E1255" t="str">
        <f>TEXT(41043092000174,"00000000000000")</f>
        <v>41043092000174</v>
      </c>
      <c r="F1255" t="s">
        <v>899</v>
      </c>
      <c r="G1255" t="s">
        <v>14</v>
      </c>
      <c r="H1255">
        <v>36010120</v>
      </c>
      <c r="I1255" t="s">
        <v>560</v>
      </c>
      <c r="J1255">
        <v>5</v>
      </c>
      <c r="K1255">
        <v>2824.15</v>
      </c>
    </row>
    <row r="1256" spans="1:11" x14ac:dyDescent="0.3">
      <c r="A1256">
        <v>2026</v>
      </c>
      <c r="B1256">
        <v>1</v>
      </c>
      <c r="C1256" t="s">
        <v>291</v>
      </c>
      <c r="D1256" t="s">
        <v>292</v>
      </c>
      <c r="E1256" t="str">
        <f>TEXT(41043092000174,"00000000000000")</f>
        <v>41043092000174</v>
      </c>
      <c r="F1256" t="s">
        <v>899</v>
      </c>
      <c r="G1256" t="s">
        <v>14</v>
      </c>
      <c r="H1256">
        <v>36010154</v>
      </c>
      <c r="I1256" t="s">
        <v>562</v>
      </c>
      <c r="J1256">
        <v>15</v>
      </c>
      <c r="K1256">
        <v>8246.51</v>
      </c>
    </row>
    <row r="1257" spans="1:11" x14ac:dyDescent="0.3">
      <c r="A1257">
        <v>2026</v>
      </c>
      <c r="B1257">
        <v>1</v>
      </c>
      <c r="C1257" t="s">
        <v>291</v>
      </c>
      <c r="D1257" t="s">
        <v>292</v>
      </c>
      <c r="E1257" t="str">
        <f>TEXT(41043092000174,"00000000000000")</f>
        <v>41043092000174</v>
      </c>
      <c r="F1257" t="s">
        <v>899</v>
      </c>
      <c r="G1257" t="s">
        <v>14</v>
      </c>
      <c r="H1257">
        <v>36010162</v>
      </c>
      <c r="I1257" t="s">
        <v>563</v>
      </c>
      <c r="J1257">
        <v>2</v>
      </c>
      <c r="K1257">
        <v>1129.6600000000001</v>
      </c>
    </row>
    <row r="1258" spans="1:11" x14ac:dyDescent="0.3">
      <c r="A1258">
        <v>2026</v>
      </c>
      <c r="B1258">
        <v>1</v>
      </c>
      <c r="C1258" t="s">
        <v>291</v>
      </c>
      <c r="D1258" t="s">
        <v>292</v>
      </c>
      <c r="E1258" t="str">
        <f>TEXT(41043092000174,"00000000000000")</f>
        <v>41043092000174</v>
      </c>
      <c r="F1258" t="s">
        <v>899</v>
      </c>
      <c r="G1258" t="s">
        <v>14</v>
      </c>
      <c r="H1258">
        <v>36010170</v>
      </c>
      <c r="I1258" t="s">
        <v>564</v>
      </c>
      <c r="J1258">
        <v>2</v>
      </c>
      <c r="K1258">
        <v>1016.69</v>
      </c>
    </row>
    <row r="1259" spans="1:11" x14ac:dyDescent="0.3">
      <c r="A1259">
        <v>2026</v>
      </c>
      <c r="B1259">
        <v>1</v>
      </c>
      <c r="C1259" t="s">
        <v>291</v>
      </c>
      <c r="D1259" t="s">
        <v>292</v>
      </c>
      <c r="E1259" t="str">
        <f>TEXT(41043092000174,"00000000000000")</f>
        <v>41043092000174</v>
      </c>
      <c r="F1259" t="s">
        <v>899</v>
      </c>
      <c r="G1259" t="s">
        <v>173</v>
      </c>
      <c r="H1259">
        <v>885918</v>
      </c>
      <c r="I1259" t="s">
        <v>901</v>
      </c>
      <c r="J1259">
        <v>1</v>
      </c>
      <c r="K1259">
        <v>19.86</v>
      </c>
    </row>
    <row r="1260" spans="1:11" x14ac:dyDescent="0.3">
      <c r="A1260">
        <v>2026</v>
      </c>
      <c r="B1260">
        <v>1</v>
      </c>
      <c r="C1260" t="s">
        <v>291</v>
      </c>
      <c r="D1260" t="s">
        <v>292</v>
      </c>
      <c r="E1260" t="str">
        <f>TEXT(41043092000174,"00000000000000")</f>
        <v>41043092000174</v>
      </c>
      <c r="F1260" t="s">
        <v>899</v>
      </c>
      <c r="G1260" t="s">
        <v>173</v>
      </c>
      <c r="H1260">
        <v>2854394</v>
      </c>
      <c r="I1260" t="s">
        <v>902</v>
      </c>
      <c r="J1260">
        <v>116</v>
      </c>
      <c r="K1260">
        <v>20.88</v>
      </c>
    </row>
    <row r="1261" spans="1:11" x14ac:dyDescent="0.3">
      <c r="A1261">
        <v>2026</v>
      </c>
      <c r="B1261">
        <v>1</v>
      </c>
      <c r="C1261" t="s">
        <v>291</v>
      </c>
      <c r="D1261" t="s">
        <v>292</v>
      </c>
      <c r="E1261" t="str">
        <f>TEXT(41043092000174,"00000000000000")</f>
        <v>41043092000174</v>
      </c>
      <c r="F1261" t="s">
        <v>899</v>
      </c>
      <c r="G1261" t="s">
        <v>173</v>
      </c>
      <c r="H1261">
        <v>78214548</v>
      </c>
      <c r="I1261" t="s">
        <v>903</v>
      </c>
      <c r="J1261">
        <v>15</v>
      </c>
      <c r="K1261">
        <v>34.950000000000003</v>
      </c>
    </row>
    <row r="1262" spans="1:11" x14ac:dyDescent="0.3">
      <c r="A1262">
        <v>2026</v>
      </c>
      <c r="B1262">
        <v>1</v>
      </c>
      <c r="C1262" t="s">
        <v>291</v>
      </c>
      <c r="D1262" t="s">
        <v>292</v>
      </c>
      <c r="E1262" t="str">
        <f>TEXT(41043092000174,"00000000000000")</f>
        <v>41043092000174</v>
      </c>
      <c r="F1262" t="s">
        <v>899</v>
      </c>
      <c r="G1262" t="s">
        <v>173</v>
      </c>
      <c r="H1262">
        <v>78244480</v>
      </c>
      <c r="I1262" t="s">
        <v>904</v>
      </c>
      <c r="J1262">
        <v>9</v>
      </c>
      <c r="K1262">
        <v>63</v>
      </c>
    </row>
    <row r="1263" spans="1:11" x14ac:dyDescent="0.3">
      <c r="A1263">
        <v>2026</v>
      </c>
      <c r="B1263">
        <v>1</v>
      </c>
      <c r="C1263" t="s">
        <v>291</v>
      </c>
      <c r="D1263" t="s">
        <v>292</v>
      </c>
      <c r="E1263" t="str">
        <f>TEXT(41043092000174,"00000000000000")</f>
        <v>41043092000174</v>
      </c>
      <c r="F1263" t="s">
        <v>899</v>
      </c>
      <c r="G1263" t="s">
        <v>173</v>
      </c>
      <c r="H1263">
        <v>78246326</v>
      </c>
      <c r="I1263" t="s">
        <v>905</v>
      </c>
      <c r="J1263">
        <v>20</v>
      </c>
      <c r="K1263">
        <v>142.80000000000001</v>
      </c>
    </row>
    <row r="1264" spans="1:11" x14ac:dyDescent="0.3">
      <c r="A1264">
        <v>2026</v>
      </c>
      <c r="B1264">
        <v>1</v>
      </c>
      <c r="C1264" t="s">
        <v>291</v>
      </c>
      <c r="D1264" t="s">
        <v>292</v>
      </c>
      <c r="E1264" t="str">
        <f>TEXT(41043092000174,"00000000000000")</f>
        <v>41043092000174</v>
      </c>
      <c r="F1264" t="s">
        <v>899</v>
      </c>
      <c r="G1264" t="s">
        <v>173</v>
      </c>
      <c r="H1264">
        <v>78247047</v>
      </c>
      <c r="I1264" t="s">
        <v>906</v>
      </c>
      <c r="J1264">
        <v>17</v>
      </c>
      <c r="K1264">
        <v>136.34</v>
      </c>
    </row>
    <row r="1265" spans="1:11" x14ac:dyDescent="0.3">
      <c r="A1265">
        <v>2026</v>
      </c>
      <c r="B1265">
        <v>1</v>
      </c>
      <c r="C1265" t="s">
        <v>291</v>
      </c>
      <c r="D1265" t="s">
        <v>292</v>
      </c>
      <c r="E1265" t="str">
        <f>TEXT(41043092000174,"00000000000000")</f>
        <v>41043092000174</v>
      </c>
      <c r="F1265" t="s">
        <v>899</v>
      </c>
      <c r="G1265" t="s">
        <v>173</v>
      </c>
      <c r="H1265">
        <v>78515963</v>
      </c>
      <c r="I1265" t="s">
        <v>907</v>
      </c>
      <c r="J1265">
        <v>4</v>
      </c>
      <c r="K1265">
        <v>114.5</v>
      </c>
    </row>
    <row r="1266" spans="1:11" x14ac:dyDescent="0.3">
      <c r="A1266">
        <v>2026</v>
      </c>
      <c r="B1266">
        <v>1</v>
      </c>
      <c r="C1266" t="s">
        <v>291</v>
      </c>
      <c r="D1266" t="s">
        <v>292</v>
      </c>
      <c r="E1266" t="str">
        <f>TEXT(41043092000174,"00000000000000")</f>
        <v>41043092000174</v>
      </c>
      <c r="F1266" t="s">
        <v>899</v>
      </c>
      <c r="G1266" t="s">
        <v>173</v>
      </c>
      <c r="H1266">
        <v>78515980</v>
      </c>
      <c r="I1266" t="s">
        <v>908</v>
      </c>
      <c r="J1266">
        <v>3</v>
      </c>
      <c r="K1266">
        <v>68.7</v>
      </c>
    </row>
    <row r="1267" spans="1:11" x14ac:dyDescent="0.3">
      <c r="A1267">
        <v>2026</v>
      </c>
      <c r="B1267">
        <v>1</v>
      </c>
      <c r="C1267" t="s">
        <v>291</v>
      </c>
      <c r="D1267" t="s">
        <v>292</v>
      </c>
      <c r="E1267" t="str">
        <f>TEXT(41043092000174,"00000000000000")</f>
        <v>41043092000174</v>
      </c>
      <c r="F1267" t="s">
        <v>899</v>
      </c>
      <c r="G1267" t="s">
        <v>173</v>
      </c>
      <c r="H1267">
        <v>79389600</v>
      </c>
      <c r="I1267" t="s">
        <v>909</v>
      </c>
      <c r="J1267">
        <v>14</v>
      </c>
      <c r="K1267">
        <v>6.58</v>
      </c>
    </row>
    <row r="1268" spans="1:11" x14ac:dyDescent="0.3">
      <c r="A1268">
        <v>2026</v>
      </c>
      <c r="B1268">
        <v>1</v>
      </c>
      <c r="C1268" t="s">
        <v>291</v>
      </c>
      <c r="D1268" t="s">
        <v>292</v>
      </c>
      <c r="E1268" t="str">
        <f>TEXT(41043092000174,"00000000000000")</f>
        <v>41043092000174</v>
      </c>
      <c r="F1268" t="s">
        <v>899</v>
      </c>
      <c r="G1268" t="s">
        <v>204</v>
      </c>
      <c r="H1268">
        <v>90072294</v>
      </c>
      <c r="I1268" t="s">
        <v>910</v>
      </c>
      <c r="J1268">
        <v>2</v>
      </c>
      <c r="K1268">
        <v>2.2200000000000002</v>
      </c>
    </row>
    <row r="1269" spans="1:11" x14ac:dyDescent="0.3">
      <c r="A1269">
        <v>2026</v>
      </c>
      <c r="B1269">
        <v>1</v>
      </c>
      <c r="C1269" t="s">
        <v>291</v>
      </c>
      <c r="D1269" t="s">
        <v>292</v>
      </c>
      <c r="E1269" t="str">
        <f>TEXT(41043092000174,"00000000000000")</f>
        <v>41043092000174</v>
      </c>
      <c r="F1269" t="s">
        <v>899</v>
      </c>
      <c r="G1269" t="s">
        <v>204</v>
      </c>
      <c r="H1269">
        <v>90093348</v>
      </c>
      <c r="I1269" t="s">
        <v>911</v>
      </c>
      <c r="J1269">
        <v>3</v>
      </c>
      <c r="K1269">
        <v>830.22</v>
      </c>
    </row>
    <row r="1270" spans="1:11" x14ac:dyDescent="0.3">
      <c r="A1270">
        <v>2026</v>
      </c>
      <c r="B1270">
        <v>1</v>
      </c>
      <c r="C1270" t="s">
        <v>291</v>
      </c>
      <c r="D1270" t="s">
        <v>292</v>
      </c>
      <c r="E1270" t="str">
        <f>TEXT(41043092000174,"00000000000000")</f>
        <v>41043092000174</v>
      </c>
      <c r="F1270" t="s">
        <v>899</v>
      </c>
      <c r="G1270" t="s">
        <v>204</v>
      </c>
      <c r="H1270">
        <v>90093380</v>
      </c>
      <c r="I1270" t="s">
        <v>912</v>
      </c>
      <c r="J1270">
        <v>3</v>
      </c>
      <c r="K1270">
        <v>1660.59</v>
      </c>
    </row>
    <row r="1271" spans="1:11" x14ac:dyDescent="0.3">
      <c r="A1271">
        <v>2026</v>
      </c>
      <c r="B1271">
        <v>1</v>
      </c>
      <c r="C1271" t="s">
        <v>291</v>
      </c>
      <c r="D1271" t="s">
        <v>292</v>
      </c>
      <c r="E1271" t="str">
        <f>TEXT(41043092000174,"00000000000000")</f>
        <v>41043092000174</v>
      </c>
      <c r="F1271" t="s">
        <v>899</v>
      </c>
      <c r="G1271" t="s">
        <v>204</v>
      </c>
      <c r="H1271">
        <v>90246950</v>
      </c>
      <c r="I1271" t="s">
        <v>913</v>
      </c>
      <c r="J1271">
        <v>3</v>
      </c>
      <c r="K1271">
        <v>949.02</v>
      </c>
    </row>
    <row r="1272" spans="1:11" x14ac:dyDescent="0.3">
      <c r="A1272">
        <v>2026</v>
      </c>
      <c r="B1272">
        <v>1</v>
      </c>
      <c r="C1272" t="s">
        <v>291</v>
      </c>
      <c r="D1272" t="s">
        <v>292</v>
      </c>
      <c r="E1272" t="str">
        <f>TEXT(41043092000174,"00000000000000")</f>
        <v>41043092000174</v>
      </c>
      <c r="F1272" t="s">
        <v>899</v>
      </c>
      <c r="G1272" t="s">
        <v>204</v>
      </c>
      <c r="H1272">
        <v>90335155</v>
      </c>
      <c r="I1272" t="s">
        <v>914</v>
      </c>
      <c r="J1272">
        <v>2</v>
      </c>
      <c r="K1272">
        <v>38.54</v>
      </c>
    </row>
    <row r="1273" spans="1:11" x14ac:dyDescent="0.3">
      <c r="A1273">
        <v>2026</v>
      </c>
      <c r="B1273">
        <v>1</v>
      </c>
      <c r="C1273" t="s">
        <v>291</v>
      </c>
      <c r="D1273" t="s">
        <v>292</v>
      </c>
      <c r="E1273" t="str">
        <f>TEXT(41043092000174,"00000000000000")</f>
        <v>41043092000174</v>
      </c>
      <c r="F1273" t="s">
        <v>899</v>
      </c>
      <c r="G1273" t="s">
        <v>204</v>
      </c>
      <c r="H1273">
        <v>90400402</v>
      </c>
      <c r="I1273" t="s">
        <v>915</v>
      </c>
      <c r="J1273">
        <v>20</v>
      </c>
      <c r="K1273">
        <v>90.38</v>
      </c>
    </row>
    <row r="1274" spans="1:11" x14ac:dyDescent="0.3">
      <c r="A1274">
        <v>2026</v>
      </c>
      <c r="B1274">
        <v>1</v>
      </c>
      <c r="C1274" t="s">
        <v>291</v>
      </c>
      <c r="D1274" t="s">
        <v>292</v>
      </c>
      <c r="E1274" t="str">
        <f>TEXT(41043092000174,"00000000000000")</f>
        <v>41043092000174</v>
      </c>
      <c r="F1274" t="s">
        <v>899</v>
      </c>
      <c r="G1274" t="s">
        <v>204</v>
      </c>
      <c r="H1274">
        <v>90480260</v>
      </c>
      <c r="I1274" t="s">
        <v>916</v>
      </c>
      <c r="J1274">
        <v>3</v>
      </c>
      <c r="K1274">
        <v>7.86</v>
      </c>
    </row>
    <row r="1275" spans="1:11" x14ac:dyDescent="0.3">
      <c r="A1275">
        <v>2026</v>
      </c>
      <c r="B1275">
        <v>1</v>
      </c>
      <c r="C1275" t="s">
        <v>291</v>
      </c>
      <c r="D1275" t="s">
        <v>292</v>
      </c>
      <c r="E1275" t="str">
        <f>TEXT(41043092000174,"00000000000000")</f>
        <v>41043092000174</v>
      </c>
      <c r="F1275" t="s">
        <v>899</v>
      </c>
      <c r="G1275" t="s">
        <v>204</v>
      </c>
      <c r="H1275">
        <v>90486331</v>
      </c>
      <c r="I1275" t="s">
        <v>917</v>
      </c>
      <c r="J1275">
        <v>2</v>
      </c>
      <c r="K1275">
        <v>20.72</v>
      </c>
    </row>
    <row r="1276" spans="1:11" x14ac:dyDescent="0.3">
      <c r="A1276">
        <v>2026</v>
      </c>
      <c r="B1276">
        <v>1</v>
      </c>
      <c r="C1276" t="s">
        <v>291</v>
      </c>
      <c r="D1276" t="s">
        <v>292</v>
      </c>
      <c r="E1276" t="str">
        <f>TEXT(41043092000174,"00000000000000")</f>
        <v>41043092000174</v>
      </c>
      <c r="F1276" t="s">
        <v>899</v>
      </c>
      <c r="G1276" t="s">
        <v>204</v>
      </c>
      <c r="H1276">
        <v>90521960</v>
      </c>
      <c r="I1276" t="s">
        <v>918</v>
      </c>
      <c r="J1276">
        <v>1</v>
      </c>
      <c r="K1276">
        <v>0.53</v>
      </c>
    </row>
    <row r="1277" spans="1:11" x14ac:dyDescent="0.3">
      <c r="A1277">
        <v>2026</v>
      </c>
      <c r="B1277">
        <v>1</v>
      </c>
      <c r="C1277" t="s">
        <v>291</v>
      </c>
      <c r="D1277" t="s">
        <v>292</v>
      </c>
      <c r="E1277" t="str">
        <f>TEXT(41211952487,"00000000000000")</f>
        <v>00041211952487</v>
      </c>
      <c r="F1277" t="s">
        <v>919</v>
      </c>
      <c r="G1277" t="s">
        <v>14</v>
      </c>
      <c r="H1277">
        <v>10723</v>
      </c>
      <c r="I1277" t="s">
        <v>920</v>
      </c>
      <c r="J1277">
        <v>103</v>
      </c>
      <c r="K1277">
        <v>9064</v>
      </c>
    </row>
    <row r="1278" spans="1:11" x14ac:dyDescent="0.3">
      <c r="A1278">
        <v>2026</v>
      </c>
      <c r="B1278">
        <v>1</v>
      </c>
      <c r="C1278" t="s">
        <v>291</v>
      </c>
      <c r="D1278" t="s">
        <v>292</v>
      </c>
      <c r="E1278" t="str">
        <f>TEXT(70088786000398,"00000000000000")</f>
        <v>70088786000398</v>
      </c>
      <c r="F1278" t="s">
        <v>921</v>
      </c>
      <c r="G1278" t="s">
        <v>14</v>
      </c>
      <c r="H1278">
        <v>51010127</v>
      </c>
      <c r="I1278" t="s">
        <v>922</v>
      </c>
      <c r="J1278">
        <v>7</v>
      </c>
      <c r="K1278">
        <v>210</v>
      </c>
    </row>
    <row r="1279" spans="1:11" x14ac:dyDescent="0.3">
      <c r="A1279">
        <v>2026</v>
      </c>
      <c r="B1279">
        <v>1</v>
      </c>
      <c r="C1279" t="s">
        <v>291</v>
      </c>
      <c r="D1279" t="s">
        <v>292</v>
      </c>
      <c r="E1279" t="str">
        <f>TEXT(70088786000398,"00000000000000")</f>
        <v>70088786000398</v>
      </c>
      <c r="F1279" t="s">
        <v>921</v>
      </c>
      <c r="G1279" t="s">
        <v>14</v>
      </c>
      <c r="H1279">
        <v>51010186</v>
      </c>
      <c r="I1279" t="s">
        <v>923</v>
      </c>
      <c r="J1279">
        <v>5</v>
      </c>
      <c r="K1279">
        <v>125</v>
      </c>
    </row>
    <row r="1280" spans="1:11" x14ac:dyDescent="0.3">
      <c r="A1280">
        <v>2026</v>
      </c>
      <c r="B1280">
        <v>1</v>
      </c>
      <c r="C1280" t="s">
        <v>291</v>
      </c>
      <c r="D1280" t="s">
        <v>292</v>
      </c>
      <c r="E1280" t="str">
        <f>TEXT(70088786000398,"00000000000000")</f>
        <v>70088786000398</v>
      </c>
      <c r="F1280" t="s">
        <v>921</v>
      </c>
      <c r="G1280" t="s">
        <v>14</v>
      </c>
      <c r="H1280">
        <v>51010283</v>
      </c>
      <c r="I1280" t="s">
        <v>924</v>
      </c>
      <c r="J1280">
        <v>5</v>
      </c>
      <c r="K1280">
        <v>450</v>
      </c>
    </row>
    <row r="1281" spans="1:11" x14ac:dyDescent="0.3">
      <c r="A1281">
        <v>2026</v>
      </c>
      <c r="B1281">
        <v>1</v>
      </c>
      <c r="C1281" t="s">
        <v>291</v>
      </c>
      <c r="D1281" t="s">
        <v>292</v>
      </c>
      <c r="E1281" t="str">
        <f>TEXT(70088786000398,"00000000000000")</f>
        <v>70088786000398</v>
      </c>
      <c r="F1281" t="s">
        <v>921</v>
      </c>
      <c r="G1281" t="s">
        <v>14</v>
      </c>
      <c r="H1281">
        <v>51200070</v>
      </c>
      <c r="I1281" t="s">
        <v>925</v>
      </c>
      <c r="J1281">
        <v>11</v>
      </c>
      <c r="K1281">
        <v>495</v>
      </c>
    </row>
    <row r="1282" spans="1:11" x14ac:dyDescent="0.3">
      <c r="A1282">
        <v>2026</v>
      </c>
      <c r="B1282">
        <v>1</v>
      </c>
      <c r="C1282" t="s">
        <v>291</v>
      </c>
      <c r="D1282" t="s">
        <v>292</v>
      </c>
      <c r="E1282" t="str">
        <f>TEXT(70088786000398,"00000000000000")</f>
        <v>70088786000398</v>
      </c>
      <c r="F1282" t="s">
        <v>921</v>
      </c>
      <c r="G1282" t="s">
        <v>14</v>
      </c>
      <c r="H1282">
        <v>51200104</v>
      </c>
      <c r="I1282" t="s">
        <v>926</v>
      </c>
      <c r="J1282">
        <v>1</v>
      </c>
      <c r="K1282">
        <v>140</v>
      </c>
    </row>
    <row r="1283" spans="1:11" x14ac:dyDescent="0.3">
      <c r="A1283">
        <v>2026</v>
      </c>
      <c r="B1283">
        <v>1</v>
      </c>
      <c r="C1283" t="s">
        <v>291</v>
      </c>
      <c r="D1283" t="s">
        <v>292</v>
      </c>
      <c r="E1283" t="str">
        <f>TEXT(70088786000398,"00000000000000")</f>
        <v>70088786000398</v>
      </c>
      <c r="F1283" t="s">
        <v>921</v>
      </c>
      <c r="G1283" t="s">
        <v>14</v>
      </c>
      <c r="H1283">
        <v>51200120</v>
      </c>
      <c r="I1283" t="s">
        <v>927</v>
      </c>
      <c r="J1283">
        <v>1</v>
      </c>
      <c r="K1283">
        <v>140</v>
      </c>
    </row>
    <row r="1284" spans="1:11" x14ac:dyDescent="0.3">
      <c r="A1284">
        <v>2026</v>
      </c>
      <c r="B1284">
        <v>1</v>
      </c>
      <c r="C1284" t="s">
        <v>291</v>
      </c>
      <c r="D1284" t="s">
        <v>292</v>
      </c>
      <c r="E1284" t="str">
        <f>TEXT(70088786000398,"00000000000000")</f>
        <v>70088786000398</v>
      </c>
      <c r="F1284" t="s">
        <v>921</v>
      </c>
      <c r="G1284" t="s">
        <v>14</v>
      </c>
      <c r="H1284">
        <v>51210037</v>
      </c>
      <c r="I1284" t="s">
        <v>928</v>
      </c>
      <c r="J1284">
        <v>11</v>
      </c>
      <c r="K1284">
        <v>495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</dc:creator>
  <cp:lastModifiedBy>Antonio Carlos</cp:lastModifiedBy>
  <dcterms:created xsi:type="dcterms:W3CDTF">2026-03-02T12:39:18Z</dcterms:created>
  <dcterms:modified xsi:type="dcterms:W3CDTF">2026-03-02T12:39:40Z</dcterms:modified>
</cp:coreProperties>
</file>