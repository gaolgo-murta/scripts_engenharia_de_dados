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54161ED8-C830-4084-AE10-10A09612F8DA}" xr6:coauthVersionLast="47" xr6:coauthVersionMax="47" xr10:uidLastSave="{00000000-0000-0000-0000-000000000000}"/>
  <bookViews>
    <workbookView xWindow="-108" yWindow="-108" windowWidth="23256" windowHeight="12456" xr2:uid="{13A86EB2-76EF-4AD3-9D9C-C3DFCF8F43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</calcChain>
</file>

<file path=xl/sharedStrings.xml><?xml version="1.0" encoding="utf-8"?>
<sst xmlns="http://schemas.openxmlformats.org/spreadsheetml/2006/main" count="202" uniqueCount="56">
  <si>
    <t>ANO</t>
  </si>
  <si>
    <t>MES</t>
  </si>
  <si>
    <t>Polo</t>
  </si>
  <si>
    <t>Subpolo</t>
  </si>
  <si>
    <t>CPF/CNPJ</t>
  </si>
  <si>
    <t>Prestador</t>
  </si>
  <si>
    <t>TIPOLOTE</t>
  </si>
  <si>
    <t>TIPOGUIA</t>
  </si>
  <si>
    <t>QTD_GUIA</t>
  </si>
  <si>
    <t>VLR_COBRADO</t>
  </si>
  <si>
    <t>VLR_GLOSA</t>
  </si>
  <si>
    <t>VLR_PAGO</t>
  </si>
  <si>
    <t>INTERIOR</t>
  </si>
  <si>
    <t>10 BPM - PALMARES</t>
  </si>
  <si>
    <t>LAISA PALLOMA XIMENES DA SILVA</t>
  </si>
  <si>
    <t>Normal</t>
  </si>
  <si>
    <t>Consulta</t>
  </si>
  <si>
    <t>14 BPM SERRA TALHADA</t>
  </si>
  <si>
    <t>LABORATORIO SAO FRANCISCO</t>
  </si>
  <si>
    <t>SP/SADT</t>
  </si>
  <si>
    <t>ISADORA BARROS CONSERVA CRUZ</t>
  </si>
  <si>
    <t>23 BPM - AFOGADOS DA INGAZEIRA</t>
  </si>
  <si>
    <t>CITO LAB</t>
  </si>
  <si>
    <t>5 DS POLICIAL DE PETROLINA</t>
  </si>
  <si>
    <t>BIOANALISES LABORATORIO DE ANALISES DIAG</t>
  </si>
  <si>
    <t>8 BPM - SALGUEIRO</t>
  </si>
  <si>
    <t>LABORATORIO SERTANEJO DE ANALISES CLINICAS LTDA</t>
  </si>
  <si>
    <t>PRONTO SOCORRO SAO FRANCISCO</t>
  </si>
  <si>
    <t>Internacao</t>
  </si>
  <si>
    <t>LABORATORIO PETRI SALGUEIRO</t>
  </si>
  <si>
    <t>9 BPM - GARANHUNS</t>
  </si>
  <si>
    <t>CARDIO IMAGEM MEDICOS LTDA</t>
  </si>
  <si>
    <t>RMR</t>
  </si>
  <si>
    <t>RECIFE</t>
  </si>
  <si>
    <t>CEMUPE  CENTRO DE MEDICINA NUCLEAR DE PERNAMBUCO LTDA</t>
  </si>
  <si>
    <t>RENAL SERVICES LTDA SOS RENAL</t>
  </si>
  <si>
    <t>CENTRO DE DIAGNOSTICO JOSE ROCHA DE SA LTDA</t>
  </si>
  <si>
    <t>AMPLIAR ANALISES PATOLOGICAS</t>
  </si>
  <si>
    <t>ONKOS  CLINICA DE ONCOLOGIA LTDA</t>
  </si>
  <si>
    <t>SINGULAR SERVICOS DE SAUDE LTDA</t>
  </si>
  <si>
    <t>HOSPITAL SANTA TERESINHA LTDA CAXANGA</t>
  </si>
  <si>
    <t>ENDOTERAPEUTICA CENTRO DE VIDEO ENDOSCOPIA</t>
  </si>
  <si>
    <t>COOPANEST PE</t>
  </si>
  <si>
    <t>Honorarios</t>
  </si>
  <si>
    <t>CLINICA RADIOLOGICA LUCILO MARANHAO LTDA</t>
  </si>
  <si>
    <t>INSTITUTO DE DIAGNOSTICO JOSE ROCHA DE SA LTDA</t>
  </si>
  <si>
    <t>ESTE  ESPACO TERAPIA</t>
  </si>
  <si>
    <t>REVIVER</t>
  </si>
  <si>
    <t>INSTITUTO DE OLHOS DR CLOVIS DE AZEVEDO PAIVA</t>
  </si>
  <si>
    <t>UNINEURO</t>
  </si>
  <si>
    <t>META  HOSPITAL CIDADE PATRIMONIO</t>
  </si>
  <si>
    <t>CLINOPE UNIDADE RECIFE</t>
  </si>
  <si>
    <t>DERBIMAGEM</t>
  </si>
  <si>
    <t>CENTRO DE DIAGNOSTICO MULTIMAGEM</t>
  </si>
  <si>
    <t>HORTON JOSE COURA PINTO FILHO</t>
  </si>
  <si>
    <t>UNIDADE DE OTORRINOLARINGOLOGIA D PERNAMBUCO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</si>
</sst>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813A-4318-4585-8EB2-167D9DC57988}">
  <dimension ref="A1:L39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4.5546875" bestFit="1" customWidth="1"/>
    <col min="3" max="3" width="9" bestFit="1" customWidth="1"/>
    <col min="4" max="4" width="30.5546875" bestFit="1" customWidth="1"/>
    <col min="5" max="5" width="15.109375" bestFit="1" customWidth="1"/>
    <col min="6" max="6" width="57" bestFit="1" customWidth="1"/>
    <col min="7" max="7" width="9.109375" bestFit="1" customWidth="1"/>
    <col min="8" max="8" width="10.109375" bestFit="1" customWidth="1"/>
    <col min="9" max="9" width="9.77734375" bestFit="1" customWidth="1"/>
    <col min="10" max="10" width="13.5546875" bestFit="1" customWidth="1"/>
    <col min="11" max="11" width="10.5546875" bestFit="1" customWidth="1"/>
    <col min="12" max="12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2026</v>
      </c>
      <c r="B2">
        <v>1</v>
      </c>
      <c r="C2" t="s">
        <v>12</v>
      </c>
      <c r="D2" t="s">
        <v>13</v>
      </c>
      <c r="E2" t="str">
        <f>TEXT(7179597406,"00000000000000")</f>
        <v>00007179597406</v>
      </c>
      <c r="F2" t="s">
        <v>14</v>
      </c>
      <c r="G2" t="s">
        <v>15</v>
      </c>
      <c r="H2" t="s">
        <v>16</v>
      </c>
      <c r="I2">
        <v>50</v>
      </c>
      <c r="J2">
        <v>3000</v>
      </c>
      <c r="K2">
        <v>0</v>
      </c>
      <c r="L2">
        <v>3000</v>
      </c>
    </row>
    <row r="3" spans="1:12" x14ac:dyDescent="0.3">
      <c r="A3">
        <v>2026</v>
      </c>
      <c r="B3">
        <v>1</v>
      </c>
      <c r="C3" t="s">
        <v>12</v>
      </c>
      <c r="D3" t="s">
        <v>17</v>
      </c>
      <c r="E3" t="str">
        <f>TEXT(11125954000147,"00000000000000")</f>
        <v>11125954000147</v>
      </c>
      <c r="F3" t="s">
        <v>18</v>
      </c>
      <c r="G3" t="s">
        <v>15</v>
      </c>
      <c r="H3" t="s">
        <v>19</v>
      </c>
      <c r="I3">
        <v>20</v>
      </c>
      <c r="J3">
        <v>2840.25</v>
      </c>
      <c r="K3">
        <v>3</v>
      </c>
      <c r="L3">
        <v>2837.25</v>
      </c>
    </row>
    <row r="4" spans="1:12" x14ac:dyDescent="0.3">
      <c r="A4">
        <v>2026</v>
      </c>
      <c r="B4">
        <v>1</v>
      </c>
      <c r="C4" t="s">
        <v>12</v>
      </c>
      <c r="D4" t="s">
        <v>17</v>
      </c>
      <c r="E4" t="str">
        <f>TEXT(11164733486,"00000000000000")</f>
        <v>00011164733486</v>
      </c>
      <c r="F4" t="s">
        <v>20</v>
      </c>
      <c r="G4" t="s">
        <v>15</v>
      </c>
      <c r="H4" t="s">
        <v>16</v>
      </c>
      <c r="I4">
        <v>33</v>
      </c>
      <c r="J4">
        <v>1980</v>
      </c>
      <c r="K4">
        <v>0</v>
      </c>
      <c r="L4">
        <v>1980</v>
      </c>
    </row>
    <row r="5" spans="1:12" x14ac:dyDescent="0.3">
      <c r="A5">
        <v>2026</v>
      </c>
      <c r="B5">
        <v>1</v>
      </c>
      <c r="C5" t="s">
        <v>12</v>
      </c>
      <c r="D5" t="s">
        <v>21</v>
      </c>
      <c r="E5" t="str">
        <f>TEXT(17059090000199,"00000000000000")</f>
        <v>17059090000199</v>
      </c>
      <c r="F5" t="s">
        <v>22</v>
      </c>
      <c r="G5" t="s">
        <v>15</v>
      </c>
      <c r="H5" t="s">
        <v>19</v>
      </c>
      <c r="I5">
        <v>18</v>
      </c>
      <c r="J5">
        <v>2335.1999999999998</v>
      </c>
      <c r="K5">
        <v>11.6</v>
      </c>
      <c r="L5">
        <v>2323.6</v>
      </c>
    </row>
    <row r="6" spans="1:12" x14ac:dyDescent="0.3">
      <c r="A6">
        <v>2026</v>
      </c>
      <c r="B6">
        <v>1</v>
      </c>
      <c r="C6" t="s">
        <v>12</v>
      </c>
      <c r="D6" t="s">
        <v>23</v>
      </c>
      <c r="E6" t="str">
        <f>TEXT(7931342000336,"00000000000000")</f>
        <v>07931342000336</v>
      </c>
      <c r="F6" t="s">
        <v>24</v>
      </c>
      <c r="G6" t="s">
        <v>15</v>
      </c>
      <c r="H6" t="s">
        <v>19</v>
      </c>
      <c r="I6">
        <v>31</v>
      </c>
      <c r="J6">
        <v>5620.35</v>
      </c>
      <c r="K6">
        <v>0</v>
      </c>
      <c r="L6">
        <v>5620.35</v>
      </c>
    </row>
    <row r="7" spans="1:12" x14ac:dyDescent="0.3">
      <c r="A7">
        <v>2026</v>
      </c>
      <c r="B7">
        <v>1</v>
      </c>
      <c r="C7" t="s">
        <v>12</v>
      </c>
      <c r="D7" t="s">
        <v>25</v>
      </c>
      <c r="E7" t="str">
        <f>TEXT(11349776000138,"00000000000000")</f>
        <v>11349776000138</v>
      </c>
      <c r="F7" t="s">
        <v>26</v>
      </c>
      <c r="G7" t="s">
        <v>15</v>
      </c>
      <c r="H7" t="s">
        <v>19</v>
      </c>
      <c r="I7">
        <v>27</v>
      </c>
      <c r="J7">
        <v>4178.04</v>
      </c>
      <c r="K7">
        <v>0</v>
      </c>
      <c r="L7">
        <v>4178.04</v>
      </c>
    </row>
    <row r="8" spans="1:12" x14ac:dyDescent="0.3">
      <c r="A8">
        <v>2026</v>
      </c>
      <c r="B8">
        <v>1</v>
      </c>
      <c r="C8" t="s">
        <v>12</v>
      </c>
      <c r="D8" t="s">
        <v>25</v>
      </c>
      <c r="E8" t="str">
        <f>TEXT(11351301000186,"00000000000000")</f>
        <v>11351301000186</v>
      </c>
      <c r="F8" t="s">
        <v>27</v>
      </c>
      <c r="G8" t="s">
        <v>15</v>
      </c>
      <c r="H8" t="s">
        <v>16</v>
      </c>
      <c r="I8">
        <v>28</v>
      </c>
      <c r="J8">
        <v>1400</v>
      </c>
      <c r="K8">
        <v>0</v>
      </c>
      <c r="L8">
        <v>1400</v>
      </c>
    </row>
    <row r="9" spans="1:12" x14ac:dyDescent="0.3">
      <c r="A9">
        <v>2026</v>
      </c>
      <c r="B9">
        <v>1</v>
      </c>
      <c r="C9" t="s">
        <v>12</v>
      </c>
      <c r="D9" t="s">
        <v>25</v>
      </c>
      <c r="E9" t="str">
        <f>TEXT(11351301000186,"00000000000000")</f>
        <v>11351301000186</v>
      </c>
      <c r="F9" t="s">
        <v>27</v>
      </c>
      <c r="G9" t="s">
        <v>15</v>
      </c>
      <c r="H9" t="s">
        <v>28</v>
      </c>
      <c r="I9">
        <v>8</v>
      </c>
      <c r="J9">
        <v>11210.49</v>
      </c>
      <c r="K9">
        <v>750.68</v>
      </c>
      <c r="L9">
        <v>10459.81</v>
      </c>
    </row>
    <row r="10" spans="1:12" x14ac:dyDescent="0.3">
      <c r="A10">
        <v>2026</v>
      </c>
      <c r="B10">
        <v>1</v>
      </c>
      <c r="C10" t="s">
        <v>12</v>
      </c>
      <c r="D10" t="s">
        <v>25</v>
      </c>
      <c r="E10" t="str">
        <f>TEXT(11351301000186,"00000000000000")</f>
        <v>11351301000186</v>
      </c>
      <c r="F10" t="s">
        <v>27</v>
      </c>
      <c r="G10" t="s">
        <v>15</v>
      </c>
      <c r="H10" t="s">
        <v>19</v>
      </c>
      <c r="I10">
        <v>144</v>
      </c>
      <c r="J10">
        <v>18383.45</v>
      </c>
      <c r="K10">
        <v>0</v>
      </c>
      <c r="L10">
        <v>18383.45</v>
      </c>
    </row>
    <row r="11" spans="1:12" x14ac:dyDescent="0.3">
      <c r="A11">
        <v>2026</v>
      </c>
      <c r="B11">
        <v>1</v>
      </c>
      <c r="C11" t="s">
        <v>12</v>
      </c>
      <c r="D11" t="s">
        <v>25</v>
      </c>
      <c r="E11" t="str">
        <f>TEXT(12979968000190,"00000000000000")</f>
        <v>12979968000190</v>
      </c>
      <c r="F11" t="s">
        <v>29</v>
      </c>
      <c r="G11" t="s">
        <v>15</v>
      </c>
      <c r="H11" t="s">
        <v>19</v>
      </c>
      <c r="I11">
        <v>65</v>
      </c>
      <c r="J11">
        <v>11232</v>
      </c>
      <c r="K11">
        <v>314.52</v>
      </c>
      <c r="L11">
        <v>10917.48</v>
      </c>
    </row>
    <row r="12" spans="1:12" x14ac:dyDescent="0.3">
      <c r="A12">
        <v>2026</v>
      </c>
      <c r="B12">
        <v>1</v>
      </c>
      <c r="C12" t="s">
        <v>12</v>
      </c>
      <c r="D12" t="s">
        <v>30</v>
      </c>
      <c r="E12" t="str">
        <f>TEXT(30877988000132,"00000000000000")</f>
        <v>30877988000132</v>
      </c>
      <c r="F12" t="s">
        <v>31</v>
      </c>
      <c r="G12" t="s">
        <v>15</v>
      </c>
      <c r="H12" t="s">
        <v>16</v>
      </c>
      <c r="I12">
        <v>8</v>
      </c>
      <c r="J12">
        <v>440</v>
      </c>
      <c r="K12">
        <v>0</v>
      </c>
      <c r="L12">
        <v>440</v>
      </c>
    </row>
    <row r="13" spans="1:12" x14ac:dyDescent="0.3">
      <c r="A13">
        <v>2026</v>
      </c>
      <c r="B13">
        <v>1</v>
      </c>
      <c r="C13" t="s">
        <v>12</v>
      </c>
      <c r="D13" t="s">
        <v>30</v>
      </c>
      <c r="E13" t="str">
        <f>TEXT(30877988000132,"00000000000000")</f>
        <v>30877988000132</v>
      </c>
      <c r="F13" t="s">
        <v>31</v>
      </c>
      <c r="G13" t="s">
        <v>15</v>
      </c>
      <c r="H13" t="s">
        <v>19</v>
      </c>
      <c r="I13">
        <v>13</v>
      </c>
      <c r="J13">
        <v>772</v>
      </c>
      <c r="K13">
        <v>0</v>
      </c>
      <c r="L13">
        <v>772</v>
      </c>
    </row>
    <row r="14" spans="1:12" x14ac:dyDescent="0.3">
      <c r="A14">
        <v>2026</v>
      </c>
      <c r="B14">
        <v>1</v>
      </c>
      <c r="C14" t="s">
        <v>32</v>
      </c>
      <c r="D14" t="s">
        <v>33</v>
      </c>
      <c r="E14" t="str">
        <f>TEXT(228813000133,"00000000000000")</f>
        <v>00228813000133</v>
      </c>
      <c r="F14" t="s">
        <v>34</v>
      </c>
      <c r="G14" t="s">
        <v>15</v>
      </c>
      <c r="H14" t="s">
        <v>19</v>
      </c>
      <c r="I14">
        <v>18</v>
      </c>
      <c r="J14">
        <v>17484.060000000001</v>
      </c>
      <c r="K14">
        <v>0</v>
      </c>
      <c r="L14">
        <v>17484.060000000001</v>
      </c>
    </row>
    <row r="15" spans="1:12" x14ac:dyDescent="0.3">
      <c r="A15">
        <v>2026</v>
      </c>
      <c r="B15">
        <v>1</v>
      </c>
      <c r="C15" t="s">
        <v>32</v>
      </c>
      <c r="D15" t="s">
        <v>33</v>
      </c>
      <c r="E15" t="str">
        <f>TEXT(1438059000129,"00000000000000")</f>
        <v>01438059000129</v>
      </c>
      <c r="F15" t="s">
        <v>35</v>
      </c>
      <c r="G15" t="s">
        <v>15</v>
      </c>
      <c r="H15" t="s">
        <v>19</v>
      </c>
      <c r="I15">
        <v>22</v>
      </c>
      <c r="J15">
        <v>94587.24</v>
      </c>
      <c r="K15">
        <v>102.56</v>
      </c>
      <c r="L15">
        <v>94484.68</v>
      </c>
    </row>
    <row r="16" spans="1:12" x14ac:dyDescent="0.3">
      <c r="A16">
        <v>2026</v>
      </c>
      <c r="B16">
        <v>1</v>
      </c>
      <c r="C16" t="s">
        <v>32</v>
      </c>
      <c r="D16" t="s">
        <v>33</v>
      </c>
      <c r="E16" t="str">
        <f>TEXT(3007832000128,"00000000000000")</f>
        <v>03007832000128</v>
      </c>
      <c r="F16" t="s">
        <v>36</v>
      </c>
      <c r="G16" t="s">
        <v>15</v>
      </c>
      <c r="H16" t="s">
        <v>19</v>
      </c>
      <c r="I16">
        <v>32</v>
      </c>
      <c r="J16">
        <v>12666.8</v>
      </c>
      <c r="K16">
        <v>2657.2</v>
      </c>
      <c r="L16">
        <v>10009.6</v>
      </c>
    </row>
    <row r="17" spans="1:12" x14ac:dyDescent="0.3">
      <c r="A17">
        <v>2026</v>
      </c>
      <c r="B17">
        <v>1</v>
      </c>
      <c r="C17" t="s">
        <v>32</v>
      </c>
      <c r="D17" t="s">
        <v>33</v>
      </c>
      <c r="E17" t="str">
        <f>TEXT(4254254000197,"00000000000000")</f>
        <v>04254254000197</v>
      </c>
      <c r="F17" t="s">
        <v>37</v>
      </c>
      <c r="G17" t="s">
        <v>15</v>
      </c>
      <c r="H17" t="s">
        <v>19</v>
      </c>
      <c r="I17">
        <v>117</v>
      </c>
      <c r="J17">
        <v>29376.959999999999</v>
      </c>
      <c r="K17">
        <v>112.88</v>
      </c>
      <c r="L17">
        <v>29264.080000000002</v>
      </c>
    </row>
    <row r="18" spans="1:12" x14ac:dyDescent="0.3">
      <c r="A18">
        <v>2026</v>
      </c>
      <c r="B18">
        <v>1</v>
      </c>
      <c r="C18" t="s">
        <v>32</v>
      </c>
      <c r="D18" t="s">
        <v>33</v>
      </c>
      <c r="E18" t="str">
        <f>TEXT(4603807000170,"00000000000000")</f>
        <v>04603807000170</v>
      </c>
      <c r="F18" t="s">
        <v>38</v>
      </c>
      <c r="G18" t="s">
        <v>15</v>
      </c>
      <c r="H18" t="s">
        <v>16</v>
      </c>
      <c r="I18">
        <v>2</v>
      </c>
      <c r="J18">
        <v>100</v>
      </c>
      <c r="K18">
        <v>0</v>
      </c>
      <c r="L18">
        <v>100</v>
      </c>
    </row>
    <row r="19" spans="1:12" x14ac:dyDescent="0.3">
      <c r="A19">
        <v>2026</v>
      </c>
      <c r="B19">
        <v>1</v>
      </c>
      <c r="C19" t="s">
        <v>32</v>
      </c>
      <c r="D19" t="s">
        <v>33</v>
      </c>
      <c r="E19" t="str">
        <f>TEXT(4603807000170,"00000000000000")</f>
        <v>04603807000170</v>
      </c>
      <c r="F19" t="s">
        <v>38</v>
      </c>
      <c r="G19" t="s">
        <v>15</v>
      </c>
      <c r="H19" t="s">
        <v>19</v>
      </c>
      <c r="I19">
        <v>88</v>
      </c>
      <c r="J19">
        <v>2195586.54</v>
      </c>
      <c r="K19">
        <v>192253.02</v>
      </c>
      <c r="L19">
        <v>2003333.52</v>
      </c>
    </row>
    <row r="20" spans="1:12" x14ac:dyDescent="0.3">
      <c r="A20">
        <v>2026</v>
      </c>
      <c r="B20">
        <v>1</v>
      </c>
      <c r="C20" t="s">
        <v>32</v>
      </c>
      <c r="D20" t="s">
        <v>33</v>
      </c>
      <c r="E20" t="str">
        <f>TEXT(7901268000143,"00000000000000")</f>
        <v>07901268000143</v>
      </c>
      <c r="F20" t="s">
        <v>39</v>
      </c>
      <c r="G20" t="s">
        <v>15</v>
      </c>
      <c r="H20" t="s">
        <v>19</v>
      </c>
      <c r="I20">
        <v>404</v>
      </c>
      <c r="J20">
        <v>17637.060000000001</v>
      </c>
      <c r="K20">
        <v>103.6</v>
      </c>
      <c r="L20">
        <v>17533.46</v>
      </c>
    </row>
    <row r="21" spans="1:12" x14ac:dyDescent="0.3">
      <c r="A21">
        <v>2026</v>
      </c>
      <c r="B21">
        <v>1</v>
      </c>
      <c r="C21" t="s">
        <v>32</v>
      </c>
      <c r="D21" t="s">
        <v>33</v>
      </c>
      <c r="E21" t="str">
        <f>TEXT(9192486000181,"00000000000000")</f>
        <v>09192486000181</v>
      </c>
      <c r="F21" t="s">
        <v>40</v>
      </c>
      <c r="G21" t="s">
        <v>15</v>
      </c>
      <c r="H21" t="s">
        <v>28</v>
      </c>
      <c r="I21">
        <v>7</v>
      </c>
      <c r="J21">
        <v>10848.12</v>
      </c>
      <c r="K21">
        <v>0</v>
      </c>
      <c r="L21">
        <v>10848.12</v>
      </c>
    </row>
    <row r="22" spans="1:12" x14ac:dyDescent="0.3">
      <c r="A22">
        <v>2026</v>
      </c>
      <c r="B22">
        <v>1</v>
      </c>
      <c r="C22" t="s">
        <v>32</v>
      </c>
      <c r="D22" t="s">
        <v>33</v>
      </c>
      <c r="E22" t="str">
        <f>TEXT(10769662000184,"00000000000000")</f>
        <v>10769662000184</v>
      </c>
      <c r="F22" t="s">
        <v>41</v>
      </c>
      <c r="G22" t="s">
        <v>15</v>
      </c>
      <c r="H22" t="s">
        <v>19</v>
      </c>
      <c r="I22">
        <v>8</v>
      </c>
      <c r="J22">
        <v>11450</v>
      </c>
      <c r="K22">
        <v>0</v>
      </c>
      <c r="L22">
        <v>11450</v>
      </c>
    </row>
    <row r="23" spans="1:12" x14ac:dyDescent="0.3">
      <c r="A23">
        <v>2026</v>
      </c>
      <c r="B23">
        <v>1</v>
      </c>
      <c r="C23" t="s">
        <v>32</v>
      </c>
      <c r="D23" t="s">
        <v>33</v>
      </c>
      <c r="E23" t="str">
        <f>TEXT(11187085000185,"00000000000000")</f>
        <v>11187085000185</v>
      </c>
      <c r="F23" t="s">
        <v>42</v>
      </c>
      <c r="G23" t="s">
        <v>15</v>
      </c>
      <c r="H23" t="s">
        <v>43</v>
      </c>
      <c r="I23">
        <v>45</v>
      </c>
      <c r="J23">
        <v>54037.279999999999</v>
      </c>
      <c r="K23">
        <v>2907.28</v>
      </c>
      <c r="L23">
        <v>51130</v>
      </c>
    </row>
    <row r="24" spans="1:12" x14ac:dyDescent="0.3">
      <c r="A24">
        <v>2026</v>
      </c>
      <c r="B24">
        <v>1</v>
      </c>
      <c r="C24" t="s">
        <v>32</v>
      </c>
      <c r="D24" t="s">
        <v>33</v>
      </c>
      <c r="E24" t="str">
        <f>TEXT(11187085000185,"00000000000000")</f>
        <v>11187085000185</v>
      </c>
      <c r="F24" t="s">
        <v>42</v>
      </c>
      <c r="G24" t="s">
        <v>15</v>
      </c>
      <c r="H24" t="s">
        <v>19</v>
      </c>
      <c r="I24">
        <v>98</v>
      </c>
      <c r="J24">
        <v>96200.57</v>
      </c>
      <c r="K24">
        <v>944.5</v>
      </c>
      <c r="L24">
        <v>95256.07</v>
      </c>
    </row>
    <row r="25" spans="1:12" x14ac:dyDescent="0.3">
      <c r="A25">
        <v>2026</v>
      </c>
      <c r="B25">
        <v>1</v>
      </c>
      <c r="C25" t="s">
        <v>32</v>
      </c>
      <c r="D25" t="s">
        <v>33</v>
      </c>
      <c r="E25" t="str">
        <f>TEXT(11544848000106,"00000000000000")</f>
        <v>11544848000106</v>
      </c>
      <c r="F25" t="s">
        <v>44</v>
      </c>
      <c r="G25" t="s">
        <v>15</v>
      </c>
      <c r="H25" t="s">
        <v>19</v>
      </c>
      <c r="I25">
        <v>26</v>
      </c>
      <c r="J25">
        <v>2549.96</v>
      </c>
      <c r="K25">
        <v>0</v>
      </c>
      <c r="L25">
        <v>2549.96</v>
      </c>
    </row>
    <row r="26" spans="1:12" x14ac:dyDescent="0.3">
      <c r="A26">
        <v>2026</v>
      </c>
      <c r="B26">
        <v>1</v>
      </c>
      <c r="C26" t="s">
        <v>32</v>
      </c>
      <c r="D26" t="s">
        <v>33</v>
      </c>
      <c r="E26" t="str">
        <f>TEXT(11933822000141,"00000000000000")</f>
        <v>11933822000141</v>
      </c>
      <c r="F26" t="s">
        <v>45</v>
      </c>
      <c r="G26" t="s">
        <v>15</v>
      </c>
      <c r="H26" t="s">
        <v>19</v>
      </c>
      <c r="I26">
        <v>82</v>
      </c>
      <c r="J26">
        <v>41314.11</v>
      </c>
      <c r="K26">
        <v>178.54</v>
      </c>
      <c r="L26">
        <v>41135.57</v>
      </c>
    </row>
    <row r="27" spans="1:12" x14ac:dyDescent="0.3">
      <c r="A27">
        <v>2026</v>
      </c>
      <c r="B27">
        <v>1</v>
      </c>
      <c r="C27" t="s">
        <v>32</v>
      </c>
      <c r="D27" t="s">
        <v>33</v>
      </c>
      <c r="E27" t="str">
        <f>TEXT(13454543000120,"00000000000000")</f>
        <v>13454543000120</v>
      </c>
      <c r="F27" t="s">
        <v>46</v>
      </c>
      <c r="G27" t="s">
        <v>15</v>
      </c>
      <c r="H27" t="s">
        <v>19</v>
      </c>
      <c r="I27">
        <v>54</v>
      </c>
      <c r="J27">
        <v>46180.7</v>
      </c>
      <c r="K27">
        <v>0</v>
      </c>
      <c r="L27">
        <v>46180.7</v>
      </c>
    </row>
    <row r="28" spans="1:12" x14ac:dyDescent="0.3">
      <c r="A28">
        <v>2026</v>
      </c>
      <c r="B28">
        <v>1</v>
      </c>
      <c r="C28" t="s">
        <v>32</v>
      </c>
      <c r="D28" t="s">
        <v>33</v>
      </c>
      <c r="E28" t="str">
        <f>TEXT(22243317000191,"00000000000000")</f>
        <v>22243317000191</v>
      </c>
      <c r="F28" t="s">
        <v>47</v>
      </c>
      <c r="G28" t="s">
        <v>15</v>
      </c>
      <c r="H28" t="s">
        <v>28</v>
      </c>
      <c r="I28">
        <v>7</v>
      </c>
      <c r="J28">
        <v>37432.5</v>
      </c>
      <c r="K28">
        <v>0</v>
      </c>
      <c r="L28">
        <v>37432.5</v>
      </c>
    </row>
    <row r="29" spans="1:12" x14ac:dyDescent="0.3">
      <c r="A29">
        <v>2026</v>
      </c>
      <c r="B29">
        <v>1</v>
      </c>
      <c r="C29" t="s">
        <v>32</v>
      </c>
      <c r="D29" t="s">
        <v>33</v>
      </c>
      <c r="E29" t="str">
        <f>TEXT(24131849000162,"00000000000000")</f>
        <v>24131849000162</v>
      </c>
      <c r="F29" t="s">
        <v>48</v>
      </c>
      <c r="G29" t="s">
        <v>15</v>
      </c>
      <c r="H29" t="s">
        <v>16</v>
      </c>
      <c r="I29">
        <v>5</v>
      </c>
      <c r="J29">
        <v>250</v>
      </c>
      <c r="K29">
        <v>0</v>
      </c>
      <c r="L29">
        <v>250</v>
      </c>
    </row>
    <row r="30" spans="1:12" x14ac:dyDescent="0.3">
      <c r="A30">
        <v>2026</v>
      </c>
      <c r="B30">
        <v>1</v>
      </c>
      <c r="C30" t="s">
        <v>32</v>
      </c>
      <c r="D30" t="s">
        <v>33</v>
      </c>
      <c r="E30" t="str">
        <f>TEXT(24131849000162,"00000000000000")</f>
        <v>24131849000162</v>
      </c>
      <c r="F30" t="s">
        <v>48</v>
      </c>
      <c r="G30" t="s">
        <v>15</v>
      </c>
      <c r="H30" t="s">
        <v>19</v>
      </c>
      <c r="I30">
        <v>54</v>
      </c>
      <c r="J30">
        <v>82461.36</v>
      </c>
      <c r="K30">
        <v>78.44</v>
      </c>
      <c r="L30">
        <v>82382.92</v>
      </c>
    </row>
    <row r="31" spans="1:12" x14ac:dyDescent="0.3">
      <c r="A31">
        <v>2026</v>
      </c>
      <c r="B31">
        <v>1</v>
      </c>
      <c r="C31" t="s">
        <v>32</v>
      </c>
      <c r="D31" t="s">
        <v>33</v>
      </c>
      <c r="E31" t="str">
        <f>TEXT(24392243000180,"00000000000000")</f>
        <v>24392243000180</v>
      </c>
      <c r="F31" t="s">
        <v>49</v>
      </c>
      <c r="G31" t="s">
        <v>15</v>
      </c>
      <c r="H31" t="s">
        <v>19</v>
      </c>
      <c r="I31">
        <v>119</v>
      </c>
      <c r="J31">
        <v>57451.86</v>
      </c>
      <c r="K31">
        <v>781.88</v>
      </c>
      <c r="L31">
        <v>56669.98</v>
      </c>
    </row>
    <row r="32" spans="1:12" x14ac:dyDescent="0.3">
      <c r="A32">
        <v>2026</v>
      </c>
      <c r="B32">
        <v>1</v>
      </c>
      <c r="C32" t="s">
        <v>32</v>
      </c>
      <c r="D32" t="s">
        <v>33</v>
      </c>
      <c r="E32" t="str">
        <f>TEXT(28739553000180,"00000000000000")</f>
        <v>28739553000180</v>
      </c>
      <c r="F32" t="s">
        <v>50</v>
      </c>
      <c r="G32" t="s">
        <v>15</v>
      </c>
      <c r="H32" t="s">
        <v>28</v>
      </c>
      <c r="I32">
        <v>20</v>
      </c>
      <c r="J32">
        <v>427449.63</v>
      </c>
      <c r="K32">
        <v>0</v>
      </c>
      <c r="L32">
        <v>427449.63</v>
      </c>
    </row>
    <row r="33" spans="1:12" x14ac:dyDescent="0.3">
      <c r="A33">
        <v>2026</v>
      </c>
      <c r="B33">
        <v>1</v>
      </c>
      <c r="C33" t="s">
        <v>32</v>
      </c>
      <c r="D33" t="s">
        <v>33</v>
      </c>
      <c r="E33" t="str">
        <f>TEXT(28739553000180,"00000000000000")</f>
        <v>28739553000180</v>
      </c>
      <c r="F33" t="s">
        <v>50</v>
      </c>
      <c r="G33" t="s">
        <v>15</v>
      </c>
      <c r="H33" t="s">
        <v>19</v>
      </c>
      <c r="I33">
        <v>10</v>
      </c>
      <c r="J33">
        <v>181213.36</v>
      </c>
      <c r="K33">
        <v>0</v>
      </c>
      <c r="L33">
        <v>181213.36</v>
      </c>
    </row>
    <row r="34" spans="1:12" x14ac:dyDescent="0.3">
      <c r="A34">
        <v>2026</v>
      </c>
      <c r="B34">
        <v>1</v>
      </c>
      <c r="C34" t="s">
        <v>32</v>
      </c>
      <c r="D34" t="s">
        <v>33</v>
      </c>
      <c r="E34" t="str">
        <f>TEXT(35315993000337,"00000000000000")</f>
        <v>35315993000337</v>
      </c>
      <c r="F34" t="s">
        <v>51</v>
      </c>
      <c r="G34" t="s">
        <v>15</v>
      </c>
      <c r="H34" t="s">
        <v>16</v>
      </c>
      <c r="I34">
        <v>5</v>
      </c>
      <c r="J34">
        <v>275</v>
      </c>
      <c r="K34">
        <v>0</v>
      </c>
      <c r="L34">
        <v>275</v>
      </c>
    </row>
    <row r="35" spans="1:12" x14ac:dyDescent="0.3">
      <c r="A35">
        <v>2026</v>
      </c>
      <c r="B35">
        <v>1</v>
      </c>
      <c r="C35" t="s">
        <v>32</v>
      </c>
      <c r="D35" t="s">
        <v>33</v>
      </c>
      <c r="E35" t="str">
        <f>TEXT(35315993000337,"00000000000000")</f>
        <v>35315993000337</v>
      </c>
      <c r="F35" t="s">
        <v>51</v>
      </c>
      <c r="G35" t="s">
        <v>15</v>
      </c>
      <c r="H35" t="s">
        <v>19</v>
      </c>
      <c r="I35">
        <v>27</v>
      </c>
      <c r="J35">
        <v>4852.3500000000004</v>
      </c>
      <c r="K35">
        <v>0</v>
      </c>
      <c r="L35">
        <v>4852.3500000000004</v>
      </c>
    </row>
    <row r="36" spans="1:12" x14ac:dyDescent="0.3">
      <c r="A36">
        <v>2026</v>
      </c>
      <c r="B36">
        <v>1</v>
      </c>
      <c r="C36" t="s">
        <v>32</v>
      </c>
      <c r="D36" t="s">
        <v>33</v>
      </c>
      <c r="E36" t="str">
        <f>TEXT(40812042000141,"00000000000000")</f>
        <v>40812042000141</v>
      </c>
      <c r="F36" t="s">
        <v>52</v>
      </c>
      <c r="G36" t="s">
        <v>15</v>
      </c>
      <c r="H36" t="s">
        <v>19</v>
      </c>
      <c r="I36">
        <v>140</v>
      </c>
      <c r="J36">
        <v>37140.449999999997</v>
      </c>
      <c r="K36">
        <v>0</v>
      </c>
      <c r="L36">
        <v>37140.449999999997</v>
      </c>
    </row>
    <row r="37" spans="1:12" x14ac:dyDescent="0.3">
      <c r="A37">
        <v>2026</v>
      </c>
      <c r="B37">
        <v>1</v>
      </c>
      <c r="C37" t="s">
        <v>32</v>
      </c>
      <c r="D37" t="s">
        <v>33</v>
      </c>
      <c r="E37" t="str">
        <f>TEXT(41043092000174,"00000000000000")</f>
        <v>41043092000174</v>
      </c>
      <c r="F37" t="s">
        <v>53</v>
      </c>
      <c r="G37" t="s">
        <v>15</v>
      </c>
      <c r="H37" t="s">
        <v>19</v>
      </c>
      <c r="I37">
        <v>49</v>
      </c>
      <c r="J37">
        <v>35039.26</v>
      </c>
      <c r="K37">
        <v>3446.63</v>
      </c>
      <c r="L37">
        <v>31592.63</v>
      </c>
    </row>
    <row r="38" spans="1:12" x14ac:dyDescent="0.3">
      <c r="A38">
        <v>2026</v>
      </c>
      <c r="B38">
        <v>1</v>
      </c>
      <c r="C38" t="s">
        <v>32</v>
      </c>
      <c r="D38" t="s">
        <v>33</v>
      </c>
      <c r="E38" t="str">
        <f>TEXT(41211952487,"00000000000000")</f>
        <v>00041211952487</v>
      </c>
      <c r="F38" t="s">
        <v>54</v>
      </c>
      <c r="G38" t="s">
        <v>15</v>
      </c>
      <c r="H38" t="s">
        <v>16</v>
      </c>
      <c r="I38">
        <v>103</v>
      </c>
      <c r="J38">
        <v>9064</v>
      </c>
      <c r="K38">
        <v>0</v>
      </c>
      <c r="L38">
        <v>9064</v>
      </c>
    </row>
    <row r="39" spans="1:12" x14ac:dyDescent="0.3">
      <c r="A39">
        <v>2026</v>
      </c>
      <c r="B39">
        <v>1</v>
      </c>
      <c r="C39" t="s">
        <v>32</v>
      </c>
      <c r="D39" t="s">
        <v>33</v>
      </c>
      <c r="E39" t="str">
        <f>TEXT(70088786000398,"00000000000000")</f>
        <v>70088786000398</v>
      </c>
      <c r="F39" t="s">
        <v>55</v>
      </c>
      <c r="G39" t="s">
        <v>15</v>
      </c>
      <c r="H39" t="s">
        <v>19</v>
      </c>
      <c r="I39">
        <v>12</v>
      </c>
      <c r="J39">
        <v>2055</v>
      </c>
      <c r="K39">
        <v>0</v>
      </c>
      <c r="L39">
        <v>2055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</dc:creator>
  <cp:lastModifiedBy>Antonio Carlos</cp:lastModifiedBy>
  <dcterms:created xsi:type="dcterms:W3CDTF">2026-03-02T12:38:26Z</dcterms:created>
  <dcterms:modified xsi:type="dcterms:W3CDTF">2026-03-02T12:38:57Z</dcterms:modified>
</cp:coreProperties>
</file>